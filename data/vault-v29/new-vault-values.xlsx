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mony" sheetId="1" r:id="rId5"/>
    <sheet state="visible" name="Power" sheetId="2" r:id="rId6"/>
    <sheet state="visible" name="Enemy" sheetId="3" r:id="rId7"/>
  </sheets>
  <definedNames/>
  <calcPr/>
</workbook>
</file>

<file path=xl/sharedStrings.xml><?xml version="1.0" encoding="utf-8"?>
<sst xmlns="http://schemas.openxmlformats.org/spreadsheetml/2006/main" count="172" uniqueCount="130">
  <si>
    <t>Gameplay</t>
  </si>
  <si>
    <t>Auto unlocked</t>
  </si>
  <si>
    <t>Attack</t>
  </si>
  <si>
    <t>Defense</t>
  </si>
  <si>
    <t>5% boost to Damage</t>
  </si>
  <si>
    <t>Auto Restart Run</t>
  </si>
  <si>
    <t>Cards</t>
  </si>
  <si>
    <r>
      <rPr>
        <rFont val="Arial"/>
        <color theme="1"/>
      </rPr>
      <t xml:space="preserve">Ad gems can stack up to </t>
    </r>
    <r>
      <rPr>
        <rFont val="Arial"/>
        <i/>
        <color theme="1"/>
      </rPr>
      <t>n</t>
    </r>
    <r>
      <rPr>
        <rFont val="Arial"/>
        <color theme="1"/>
      </rPr>
      <t>x</t>
    </r>
  </si>
  <si>
    <t>UW</t>
  </si>
  <si>
    <t>Damage Cap Slider</t>
  </si>
  <si>
    <t>Simple</t>
  </si>
  <si>
    <t>Modules</t>
  </si>
  <si>
    <t>Bots</t>
  </si>
  <si>
    <t>Additional Card Slot</t>
  </si>
  <si>
    <t>Workshop</t>
  </si>
  <si>
    <t>Auto Charge Berzerker</t>
  </si>
  <si>
    <t>Utility</t>
  </si>
  <si>
    <t>Guardians</t>
  </si>
  <si>
    <t>5% boost to Attack Speed</t>
  </si>
  <si>
    <t>Demon Mode (Auto =&gt; Smart)</t>
  </si>
  <si>
    <t>Nuke (Auto =&gt; Smart)</t>
  </si>
  <si>
    <t>Ultimate Weapons</t>
  </si>
  <si>
    <t>`+1% Critical Chance</t>
  </si>
  <si>
    <t>Death Ray toggle</t>
  </si>
  <si>
    <t>5% boost to Crit Factor</t>
  </si>
  <si>
    <t>Spawn Accelerator toggle</t>
  </si>
  <si>
    <t>Life Saving Ordering</t>
  </si>
  <si>
    <t>range</t>
  </si>
  <si>
    <t>Energy Shield Restriction</t>
  </si>
  <si>
    <t>Red</t>
  </si>
  <si>
    <t>This is a workshop upgrade that we are not including</t>
  </si>
  <si>
    <t>5% boost to Damage / Meter</t>
  </si>
  <si>
    <t>Total</t>
  </si>
  <si>
    <t>Missile Barrage (Auto =&gt; Smart)</t>
  </si>
  <si>
    <t>Advanced</t>
  </si>
  <si>
    <t>`+4% Multishot Chance</t>
  </si>
  <si>
    <t>Basic</t>
  </si>
  <si>
    <t>Attack (-1%)</t>
  </si>
  <si>
    <t>Black Hole Range Slider</t>
  </si>
  <si>
    <t>Yellow</t>
  </si>
  <si>
    <t>This is a workshop upgrade that has a clarification</t>
  </si>
  <si>
    <t>ms targets</t>
  </si>
  <si>
    <t>Poison Swamp Range Slider</t>
  </si>
  <si>
    <t>`+4% Rapid Fire Chance</t>
  </si>
  <si>
    <t>Green</t>
  </si>
  <si>
    <t>Auto Shatter Rare Modules</t>
  </si>
  <si>
    <t>This is a workshop upgrade that we are adding in this update</t>
  </si>
  <si>
    <t>rf duration</t>
  </si>
  <si>
    <t>`+4% Bounce Shot Chance</t>
  </si>
  <si>
    <t>Daily Mission - Set Shard Type</t>
  </si>
  <si>
    <t>Free Mission reroll</t>
  </si>
  <si>
    <t>bs targets</t>
  </si>
  <si>
    <t>2.5% cost reduction to Reroll Dice</t>
  </si>
  <si>
    <t>Bounce Range</t>
  </si>
  <si>
    <t>`+ 2% Super Crit Chance</t>
  </si>
  <si>
    <t>1/3 gem reduction =&gt; +3 presets</t>
  </si>
  <si>
    <t>5% boost to Super Crit Mult</t>
  </si>
  <si>
    <t>Bot Range</t>
  </si>
  <si>
    <t>`+4% Rend Armor Chance</t>
  </si>
  <si>
    <t>Bot Cooldown Sliders</t>
  </si>
  <si>
    <t>5% boost to Rend Armor Mult</t>
  </si>
  <si>
    <t>2.5% cost reduction to WS+</t>
  </si>
  <si>
    <t>5% boost to health</t>
  </si>
  <si>
    <t>Workshop Orb Adjuster</t>
  </si>
  <si>
    <t>5% boost to health regen</t>
  </si>
  <si>
    <t>Guardian</t>
  </si>
  <si>
    <t>`+0.5% defense</t>
  </si>
  <si>
    <t>5% boost to defense absolute</t>
  </si>
  <si>
    <t>Elites</t>
  </si>
  <si>
    <t>5% boost to Thorns</t>
  </si>
  <si>
    <t>Health (-1%)</t>
  </si>
  <si>
    <t>lifesteal</t>
  </si>
  <si>
    <t>`+1% knockback chance</t>
  </si>
  <si>
    <t>5% boost to Knockback</t>
  </si>
  <si>
    <t>5% boost to Orb Speed</t>
  </si>
  <si>
    <t>`+1 to Orbs</t>
  </si>
  <si>
    <t>5% boost to shockwave size</t>
  </si>
  <si>
    <t>`-1s to Shockwave Frequency</t>
  </si>
  <si>
    <t>land mine chance</t>
  </si>
  <si>
    <t>land mine damage</t>
  </si>
  <si>
    <t>land mine radius</t>
  </si>
  <si>
    <t>`+2% Death Defy</t>
  </si>
  <si>
    <t>5% boost to wall health</t>
  </si>
  <si>
    <t>`-20s to Wall Rebuild</t>
  </si>
  <si>
    <t>Fleets</t>
  </si>
  <si>
    <t>Coin Bonus (+1%)</t>
  </si>
  <si>
    <t>5% boost to cash</t>
  </si>
  <si>
    <t>100% boost to Cash / Wave</t>
  </si>
  <si>
    <t>5% boost to coins / kill</t>
  </si>
  <si>
    <t>100% boost to Coins / Wave</t>
  </si>
  <si>
    <t>5% boost to Free Attack Upgrade</t>
  </si>
  <si>
    <t>5% boost to Free Defense Upgrade</t>
  </si>
  <si>
    <t>5% boost to Free Utility Upgrade</t>
  </si>
  <si>
    <t>100% boost to Interest / Wave</t>
  </si>
  <si>
    <t>Fast</t>
  </si>
  <si>
    <t>5% boost to Recovery Amount</t>
  </si>
  <si>
    <t>20% boost to Max Recovery</t>
  </si>
  <si>
    <t>Package Chance</t>
  </si>
  <si>
    <t>`+0.5% Enemy Attack Skip</t>
  </si>
  <si>
    <t>`+0.5% Enemy Health Skip</t>
  </si>
  <si>
    <t>5% boost to UW Damage</t>
  </si>
  <si>
    <t>5% boost to Chain Lightning Damage</t>
  </si>
  <si>
    <t>5% boost to Smart Missiles Damage</t>
  </si>
  <si>
    <t>Health</t>
  </si>
  <si>
    <t>5% boost to Death Wave Damage</t>
  </si>
  <si>
    <t>5% boost to Inner Land Mine Damage</t>
  </si>
  <si>
    <t>5% boost to Golden Tower Bonus</t>
  </si>
  <si>
    <t>5% boost to Poison Swamp Damage</t>
  </si>
  <si>
    <t>5% boost to Spotlight Bonus</t>
  </si>
  <si>
    <t>5% boost to Black Hole Range</t>
  </si>
  <si>
    <t>Speed (-1%)</t>
  </si>
  <si>
    <t>Tank</t>
  </si>
  <si>
    <t>Mass (-1%)</t>
  </si>
  <si>
    <t>Boss</t>
  </si>
  <si>
    <t>Common Module Drop Chance (+0.1%)</t>
  </si>
  <si>
    <t>Ranged</t>
  </si>
  <si>
    <t>Ranged Distance (-1%)</t>
  </si>
  <si>
    <t>Protector</t>
  </si>
  <si>
    <t>Radius (-1%)</t>
  </si>
  <si>
    <t>Vampire</t>
  </si>
  <si>
    <t>Attack Speed (-1%)</t>
  </si>
  <si>
    <t>Scatter</t>
  </si>
  <si>
    <t>Ray</t>
  </si>
  <si>
    <t>Saboteur</t>
  </si>
  <si>
    <t>Miss Chance (+1%)</t>
  </si>
  <si>
    <t>Commander</t>
  </si>
  <si>
    <t>Pulse Effect (-1%)</t>
  </si>
  <si>
    <t>Pulse Speed (-1%)</t>
  </si>
  <si>
    <t>Overcharge</t>
  </si>
  <si>
    <t>Attack Exponent (-1%)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</si>
</sst>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horizontal="right" vertical="bottom"/>
    </xf>
    <xf borderId="1" fillId="3" fontId="1" numFmtId="0" xfId="0" applyAlignment="1" applyBorder="1" applyFill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shrinkToFit="0" vertical="bottom" wrapText="1"/>
    </xf>
    <xf borderId="1" fillId="5" fontId="1" numFmtId="0" xfId="0" applyAlignment="1" applyBorder="1" applyFill="1" applyFont="1">
      <alignment vertical="bottom"/>
    </xf>
    <xf borderId="0" fillId="5" fontId="1" numFmtId="0" xfId="0" applyAlignment="1" applyFill="1" applyFont="1">
      <alignment vertical="bottom"/>
    </xf>
    <xf borderId="1" fillId="0" fontId="1" numFmtId="1" xfId="0" applyAlignment="1" applyBorder="1" applyFont="1" applyNumberFormat="1">
      <alignment horizontal="right" vertical="bottom"/>
    </xf>
    <xf borderId="0" fillId="3" fontId="1" numFmtId="0" xfId="0" applyAlignment="1" applyFill="1" applyFont="1">
      <alignment vertical="bottom"/>
    </xf>
    <xf borderId="0" fillId="6" fontId="1" numFmtId="1" xfId="0" applyAlignment="1" applyFill="1" applyFont="1" applyNumberFormat="1">
      <alignment horizontal="right" vertical="bottom"/>
    </xf>
    <xf borderId="1" fillId="4" fontId="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</cols>
  <sheetData>
    <row r="1">
      <c r="A1" s="1" t="s">
        <v>0</v>
      </c>
      <c r="B1" s="1" t="s">
        <v>1</v>
      </c>
      <c r="C1" s="2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</row>
    <row r="2">
      <c r="A2" s="4"/>
      <c r="B2" s="4"/>
      <c r="C2" s="2"/>
      <c r="D2" s="1" t="s">
        <v>5</v>
      </c>
      <c r="E2" s="5">
        <v>25.0</v>
      </c>
      <c r="F2" s="2"/>
      <c r="G2" s="2"/>
      <c r="H2" s="2"/>
      <c r="I2" s="2"/>
      <c r="J2" s="2"/>
      <c r="K2" s="2"/>
      <c r="L2" s="2"/>
      <c r="M2" s="2"/>
    </row>
    <row r="3">
      <c r="A3" s="1" t="s">
        <v>6</v>
      </c>
      <c r="B3" s="3">
        <v>5.0</v>
      </c>
      <c r="C3" s="2"/>
      <c r="D3" s="1" t="s">
        <v>7</v>
      </c>
      <c r="E3" s="5">
        <v>10.0</v>
      </c>
      <c r="F3" s="5">
        <v>20.0</v>
      </c>
      <c r="G3" s="5">
        <v>40.0</v>
      </c>
      <c r="H3" s="5">
        <v>60.0</v>
      </c>
      <c r="I3" s="2"/>
      <c r="J3" s="2"/>
      <c r="K3" s="2"/>
      <c r="L3" s="2"/>
      <c r="M3" s="2"/>
    </row>
    <row r="4">
      <c r="A4" s="1" t="s">
        <v>8</v>
      </c>
      <c r="B4" s="3">
        <v>5.0</v>
      </c>
      <c r="C4" s="2"/>
      <c r="D4" s="1" t="s">
        <v>9</v>
      </c>
      <c r="E4" s="5">
        <v>25.0</v>
      </c>
      <c r="F4" s="2"/>
      <c r="G4" s="2"/>
      <c r="H4" s="2"/>
      <c r="I4" s="2"/>
      <c r="J4" s="2"/>
      <c r="K4" s="2"/>
      <c r="L4" s="2"/>
      <c r="M4" s="2"/>
    </row>
    <row r="5">
      <c r="A5" s="1" t="s">
        <v>11</v>
      </c>
      <c r="B5" s="3">
        <v>5.0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4"/>
      <c r="B6" s="4"/>
      <c r="C6" s="2"/>
      <c r="D6" s="2" t="s">
        <v>6</v>
      </c>
      <c r="E6" s="2"/>
      <c r="F6" s="2"/>
      <c r="G6" s="2"/>
      <c r="H6" s="2"/>
      <c r="I6" s="2"/>
      <c r="J6" s="2"/>
      <c r="K6" s="2"/>
      <c r="L6" s="2"/>
      <c r="M6" s="2"/>
    </row>
    <row r="7">
      <c r="A7" s="1" t="s">
        <v>12</v>
      </c>
      <c r="B7" s="3">
        <v>10.0</v>
      </c>
      <c r="C7" s="2"/>
      <c r="D7" s="1" t="s">
        <v>13</v>
      </c>
      <c r="E7" s="5">
        <v>5.0</v>
      </c>
      <c r="F7" s="5">
        <v>10.0</v>
      </c>
      <c r="G7" s="5">
        <v>20.0</v>
      </c>
      <c r="H7" s="5">
        <v>40.0</v>
      </c>
      <c r="I7" s="5">
        <v>60.0</v>
      </c>
      <c r="J7" s="5">
        <v>80.0</v>
      </c>
      <c r="K7" s="2"/>
      <c r="L7" s="2"/>
      <c r="M7" s="2"/>
    </row>
    <row r="8">
      <c r="A8" s="1" t="s">
        <v>14</v>
      </c>
      <c r="B8" s="3">
        <v>10.0</v>
      </c>
      <c r="C8" s="2"/>
      <c r="D8" s="1" t="s">
        <v>15</v>
      </c>
      <c r="E8" s="5">
        <v>5.0</v>
      </c>
      <c r="F8" s="2"/>
      <c r="G8" s="2"/>
      <c r="H8" s="2"/>
      <c r="I8" s="2"/>
      <c r="J8" s="2"/>
      <c r="K8" s="2"/>
      <c r="L8" s="2"/>
      <c r="M8" s="2"/>
    </row>
    <row r="9">
      <c r="A9" s="1" t="s">
        <v>17</v>
      </c>
      <c r="B9" s="3">
        <v>10.0</v>
      </c>
      <c r="C9" s="2"/>
      <c r="D9" s="1" t="s">
        <v>19</v>
      </c>
      <c r="E9" s="5">
        <v>10.0</v>
      </c>
      <c r="F9" s="5">
        <v>25.0</v>
      </c>
      <c r="G9" s="2"/>
      <c r="H9" s="2"/>
      <c r="I9" s="2"/>
      <c r="J9" s="2"/>
      <c r="K9" s="2"/>
      <c r="L9" s="2"/>
      <c r="M9" s="2"/>
    </row>
    <row r="10">
      <c r="A10" s="2"/>
      <c r="B10" s="2"/>
      <c r="C10" s="2"/>
      <c r="D10" s="1" t="s">
        <v>20</v>
      </c>
      <c r="E10" s="5">
        <v>10.0</v>
      </c>
      <c r="F10" s="5">
        <v>25.0</v>
      </c>
      <c r="G10" s="2"/>
      <c r="H10" s="2"/>
      <c r="I10" s="2"/>
      <c r="J10" s="2"/>
      <c r="K10" s="2"/>
      <c r="L10" s="2"/>
      <c r="M10" s="2"/>
    </row>
    <row r="11">
      <c r="A11" s="2"/>
      <c r="B11" s="2"/>
      <c r="C11" s="2"/>
      <c r="D11" s="6" t="s">
        <v>23</v>
      </c>
      <c r="E11" s="5">
        <v>15.0</v>
      </c>
      <c r="F11" s="2"/>
      <c r="G11" s="2"/>
      <c r="H11" s="2"/>
      <c r="I11" s="2"/>
      <c r="J11" s="2"/>
      <c r="K11" s="2"/>
      <c r="L11" s="2"/>
      <c r="M11" s="2"/>
    </row>
    <row r="12">
      <c r="A12" s="2"/>
      <c r="B12" s="2"/>
      <c r="C12" s="2"/>
      <c r="D12" s="6" t="s">
        <v>25</v>
      </c>
      <c r="E12" s="5">
        <v>20.0</v>
      </c>
      <c r="F12" s="2"/>
      <c r="G12" s="2"/>
      <c r="H12" s="2"/>
      <c r="I12" s="2"/>
      <c r="J12" s="2"/>
      <c r="K12" s="2"/>
      <c r="L12" s="2"/>
      <c r="M12" s="2"/>
    </row>
    <row r="13">
      <c r="A13" s="2"/>
      <c r="B13" s="2"/>
      <c r="C13" s="2"/>
      <c r="D13" s="6" t="s">
        <v>26</v>
      </c>
      <c r="E13" s="5">
        <v>50.0</v>
      </c>
      <c r="F13" s="2"/>
      <c r="G13" s="2"/>
      <c r="H13" s="2"/>
      <c r="I13" s="2"/>
      <c r="J13" s="2"/>
      <c r="K13" s="2"/>
      <c r="L13" s="2"/>
      <c r="M13" s="2"/>
    </row>
    <row r="14">
      <c r="A14" s="2"/>
      <c r="B14" s="2"/>
      <c r="C14" s="2"/>
      <c r="D14" s="6" t="s">
        <v>28</v>
      </c>
      <c r="E14" s="5">
        <v>50.0</v>
      </c>
      <c r="F14" s="2"/>
      <c r="G14" s="2"/>
      <c r="H14" s="2"/>
      <c r="I14" s="2"/>
      <c r="J14" s="2"/>
      <c r="K14" s="2"/>
      <c r="L14" s="2"/>
      <c r="M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2"/>
      <c r="B16" s="2"/>
      <c r="C16" s="2"/>
      <c r="D16" s="2" t="s">
        <v>8</v>
      </c>
      <c r="E16" s="2"/>
      <c r="F16" s="2"/>
      <c r="G16" s="2"/>
      <c r="H16" s="2"/>
      <c r="I16" s="2"/>
      <c r="J16" s="2"/>
      <c r="K16" s="2"/>
      <c r="L16" s="2"/>
      <c r="M16" s="2"/>
    </row>
    <row r="17">
      <c r="A17" s="2"/>
      <c r="B17" s="2"/>
      <c r="C17" s="2"/>
      <c r="D17" s="9" t="s">
        <v>33</v>
      </c>
      <c r="E17" s="5">
        <v>10.0</v>
      </c>
      <c r="F17" s="5">
        <v>25.0</v>
      </c>
      <c r="G17" s="2"/>
      <c r="H17" s="2"/>
      <c r="I17" s="2"/>
      <c r="J17" s="2"/>
      <c r="K17" s="2"/>
      <c r="L17" s="2"/>
      <c r="M17" s="2"/>
    </row>
    <row r="18">
      <c r="A18" s="2"/>
      <c r="B18" s="2"/>
      <c r="C18" s="2"/>
      <c r="D18" s="6" t="s">
        <v>38</v>
      </c>
      <c r="E18" s="5">
        <v>25.0</v>
      </c>
      <c r="F18" s="2"/>
      <c r="G18" s="2"/>
      <c r="H18" s="2"/>
      <c r="I18" s="2"/>
      <c r="J18" s="2"/>
      <c r="K18" s="2"/>
      <c r="L18" s="2"/>
      <c r="M18" s="2"/>
    </row>
    <row r="19">
      <c r="A19" s="2"/>
      <c r="B19" s="2"/>
      <c r="C19" s="2"/>
      <c r="D19" s="6" t="s">
        <v>42</v>
      </c>
      <c r="E19" s="5">
        <v>25.0</v>
      </c>
      <c r="F19" s="2"/>
      <c r="G19" s="2"/>
      <c r="H19" s="2"/>
      <c r="I19" s="2"/>
      <c r="J19" s="2"/>
      <c r="K19" s="2"/>
      <c r="L19" s="2"/>
      <c r="M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2"/>
      <c r="B21" s="2"/>
      <c r="C21" s="2"/>
      <c r="D21" s="2" t="s">
        <v>11</v>
      </c>
      <c r="E21" s="2"/>
      <c r="F21" s="2"/>
      <c r="G21" s="2"/>
      <c r="H21" s="2"/>
      <c r="I21" s="2"/>
      <c r="J21" s="2"/>
      <c r="K21" s="2"/>
      <c r="L21" s="2"/>
      <c r="M21" s="2"/>
    </row>
    <row r="22">
      <c r="A22" s="2"/>
      <c r="B22" s="2"/>
      <c r="C22" s="2"/>
      <c r="D22" s="1" t="s">
        <v>45</v>
      </c>
      <c r="E22" s="5">
        <v>5.0</v>
      </c>
      <c r="F22" s="2"/>
      <c r="G22" s="2"/>
      <c r="H22" s="2"/>
      <c r="I22" s="2"/>
      <c r="J22" s="2"/>
      <c r="K22" s="2"/>
      <c r="L22" s="2"/>
      <c r="M22" s="2"/>
    </row>
    <row r="23">
      <c r="A23" s="2"/>
      <c r="B23" s="2"/>
      <c r="C23" s="2"/>
      <c r="D23" s="1" t="s">
        <v>49</v>
      </c>
      <c r="E23" s="5">
        <v>10.0</v>
      </c>
      <c r="F23" s="2"/>
      <c r="G23" s="2"/>
      <c r="H23" s="2"/>
      <c r="I23" s="2"/>
      <c r="J23" s="2"/>
      <c r="K23" s="2"/>
      <c r="L23" s="2"/>
      <c r="M23" s="2"/>
    </row>
    <row r="24">
      <c r="A24" s="2"/>
      <c r="B24" s="2"/>
      <c r="C24" s="2"/>
      <c r="D24" s="1" t="s">
        <v>50</v>
      </c>
      <c r="E24" s="5">
        <v>15.0</v>
      </c>
      <c r="F24" s="2"/>
      <c r="G24" s="2"/>
      <c r="H24" s="2"/>
      <c r="I24" s="2"/>
      <c r="J24" s="2"/>
      <c r="K24" s="2"/>
      <c r="L24" s="2"/>
      <c r="M24" s="2"/>
    </row>
    <row r="25">
      <c r="A25" s="2"/>
      <c r="B25" s="2"/>
      <c r="C25" s="2"/>
      <c r="D25" s="1" t="s">
        <v>52</v>
      </c>
      <c r="E25" s="5">
        <v>5.0</v>
      </c>
      <c r="F25" s="5">
        <v>10.0</v>
      </c>
      <c r="G25" s="5">
        <v>15.0</v>
      </c>
      <c r="H25" s="5">
        <v>20.0</v>
      </c>
      <c r="I25" s="5">
        <v>25.0</v>
      </c>
      <c r="J25" s="5">
        <v>30.0</v>
      </c>
      <c r="K25" s="5">
        <v>35.0</v>
      </c>
      <c r="L25" s="5">
        <v>40.0</v>
      </c>
      <c r="M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>
      <c r="A27" s="2"/>
      <c r="B27" s="2"/>
      <c r="C27" s="2"/>
      <c r="D27" s="2" t="s">
        <v>12</v>
      </c>
      <c r="E27" s="2"/>
      <c r="F27" s="2"/>
      <c r="G27" s="2"/>
      <c r="H27" s="2"/>
      <c r="I27" s="2"/>
      <c r="J27" s="2"/>
      <c r="K27" s="2"/>
      <c r="L27" s="2"/>
      <c r="M27" s="2"/>
    </row>
    <row r="28">
      <c r="A28" s="2"/>
      <c r="B28" s="2"/>
      <c r="C28" s="2"/>
      <c r="D28" s="9" t="s">
        <v>55</v>
      </c>
      <c r="E28" s="5">
        <v>5.0</v>
      </c>
      <c r="F28" s="5">
        <v>10.0</v>
      </c>
      <c r="G28" s="5">
        <v>15.0</v>
      </c>
      <c r="H28" s="5">
        <v>20.0</v>
      </c>
      <c r="I28" s="2"/>
      <c r="J28" s="2"/>
      <c r="K28" s="2"/>
      <c r="L28" s="2"/>
      <c r="M28" s="2"/>
    </row>
    <row r="29">
      <c r="A29" s="2"/>
      <c r="B29" s="2"/>
      <c r="C29" s="2"/>
      <c r="D29" s="1" t="s">
        <v>57</v>
      </c>
      <c r="E29" s="5">
        <v>10.0</v>
      </c>
      <c r="F29" s="5">
        <v>20.0</v>
      </c>
      <c r="G29" s="5">
        <v>30.0</v>
      </c>
      <c r="H29" s="5">
        <v>40.0</v>
      </c>
      <c r="I29" s="2"/>
      <c r="J29" s="2"/>
      <c r="K29" s="2"/>
      <c r="L29" s="2"/>
      <c r="M29" s="2"/>
    </row>
    <row r="30">
      <c r="A30" s="2"/>
      <c r="B30" s="2"/>
      <c r="C30" s="2"/>
      <c r="D30" s="1" t="s">
        <v>59</v>
      </c>
      <c r="E30" s="5">
        <v>15.0</v>
      </c>
      <c r="F30" s="2"/>
      <c r="G30" s="2"/>
      <c r="H30" s="2"/>
      <c r="I30" s="2"/>
      <c r="J30" s="2"/>
      <c r="K30" s="2"/>
      <c r="L30" s="2"/>
      <c r="M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2"/>
      <c r="B32" s="2"/>
      <c r="C32" s="2"/>
      <c r="D32" s="2" t="s">
        <v>14</v>
      </c>
      <c r="E32" s="2"/>
      <c r="F32" s="2"/>
      <c r="G32" s="2"/>
      <c r="H32" s="2"/>
      <c r="I32" s="2"/>
      <c r="J32" s="2"/>
      <c r="K32" s="2"/>
      <c r="L32" s="2"/>
      <c r="M32" s="2"/>
    </row>
    <row r="33">
      <c r="A33" s="2"/>
      <c r="B33" s="2"/>
      <c r="C33" s="2"/>
      <c r="D33" s="9" t="s">
        <v>55</v>
      </c>
      <c r="E33" s="5">
        <v>5.0</v>
      </c>
      <c r="F33" s="5">
        <v>10.0</v>
      </c>
      <c r="G33" s="5">
        <v>15.0</v>
      </c>
      <c r="H33" s="5">
        <v>20.0</v>
      </c>
      <c r="I33" s="2"/>
      <c r="J33" s="2"/>
      <c r="K33" s="2"/>
      <c r="L33" s="2"/>
      <c r="M33" s="2"/>
    </row>
    <row r="34">
      <c r="A34" s="2"/>
      <c r="B34" s="2"/>
      <c r="C34" s="2"/>
      <c r="D34" s="1" t="s">
        <v>61</v>
      </c>
      <c r="E34" s="5">
        <v>5.0</v>
      </c>
      <c r="F34" s="5">
        <v>10.0</v>
      </c>
      <c r="G34" s="5">
        <v>15.0</v>
      </c>
      <c r="H34" s="5">
        <v>20.0</v>
      </c>
      <c r="I34" s="5">
        <v>25.0</v>
      </c>
      <c r="J34" s="5">
        <v>30.0</v>
      </c>
      <c r="K34" s="5">
        <v>35.0</v>
      </c>
      <c r="L34" s="5">
        <v>40.0</v>
      </c>
      <c r="M34" s="5">
        <v>45.0</v>
      </c>
    </row>
    <row r="35">
      <c r="A35" s="2"/>
      <c r="B35" s="2"/>
      <c r="C35" s="2"/>
      <c r="D35" s="1" t="s">
        <v>63</v>
      </c>
      <c r="E35" s="5">
        <v>15.0</v>
      </c>
      <c r="F35" s="2"/>
      <c r="G35" s="2"/>
      <c r="H35" s="2"/>
      <c r="I35" s="2"/>
      <c r="J35" s="2"/>
      <c r="K35" s="2"/>
      <c r="L35" s="2"/>
      <c r="M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>
      <c r="A37" s="2"/>
      <c r="B37" s="2"/>
      <c r="C37" s="2"/>
      <c r="D37" s="2" t="s">
        <v>65</v>
      </c>
      <c r="E37" s="2"/>
      <c r="F37" s="2"/>
      <c r="G37" s="2"/>
      <c r="H37" s="2"/>
      <c r="I37" s="2"/>
      <c r="J37" s="2"/>
      <c r="K37" s="2"/>
      <c r="L37" s="2"/>
      <c r="M37" s="2"/>
    </row>
    <row r="38">
      <c r="A38" s="2"/>
      <c r="B38" s="2"/>
      <c r="C38" s="2"/>
      <c r="D38" s="6" t="s">
        <v>55</v>
      </c>
      <c r="E38" s="5">
        <v>5.0</v>
      </c>
      <c r="F38" s="5">
        <v>10.0</v>
      </c>
      <c r="G38" s="5">
        <v>15.0</v>
      </c>
      <c r="H38" s="5">
        <v>20.0</v>
      </c>
      <c r="I38" s="2"/>
      <c r="J38" s="2"/>
      <c r="K38" s="2"/>
      <c r="L38" s="2"/>
      <c r="M3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13"/>
  </cols>
  <sheetData>
    <row r="1">
      <c r="A1" s="1" t="s">
        <v>2</v>
      </c>
      <c r="B1" s="3">
        <v>25.0</v>
      </c>
      <c r="C1" s="2"/>
      <c r="D1" s="2" t="s">
        <v>2</v>
      </c>
      <c r="E1" s="2"/>
      <c r="F1" s="2"/>
      <c r="G1" s="2"/>
      <c r="H1" s="2"/>
      <c r="I1" s="2"/>
    </row>
    <row r="2">
      <c r="A2" s="1" t="s">
        <v>3</v>
      </c>
      <c r="B2" s="3">
        <v>25.0</v>
      </c>
      <c r="C2" s="2"/>
      <c r="D2" s="1" t="s">
        <v>4</v>
      </c>
      <c r="E2" s="5">
        <v>10.0</v>
      </c>
      <c r="F2" s="5">
        <f t="shared" ref="F2:G2" si="1">E2*2</f>
        <v>20</v>
      </c>
      <c r="G2" s="5">
        <f t="shared" si="1"/>
        <v>40</v>
      </c>
      <c r="H2" s="5">
        <v>70.0</v>
      </c>
      <c r="I2" s="5">
        <v>110.0</v>
      </c>
    </row>
    <row r="3">
      <c r="A3" s="1" t="s">
        <v>16</v>
      </c>
      <c r="B3" s="3">
        <v>25.0</v>
      </c>
      <c r="C3" s="2"/>
      <c r="D3" s="1" t="s">
        <v>18</v>
      </c>
      <c r="E3" s="5">
        <v>10.0</v>
      </c>
      <c r="F3" s="5">
        <f t="shared" ref="F3:G3" si="2">E3*2</f>
        <v>20</v>
      </c>
      <c r="G3" s="5">
        <f t="shared" si="2"/>
        <v>40</v>
      </c>
      <c r="H3" s="5">
        <v>70.0</v>
      </c>
      <c r="I3" s="5">
        <v>110.0</v>
      </c>
    </row>
    <row r="4">
      <c r="A4" s="1" t="s">
        <v>21</v>
      </c>
      <c r="B4" s="3">
        <v>25.0</v>
      </c>
      <c r="C4" s="2"/>
      <c r="D4" s="1" t="s">
        <v>22</v>
      </c>
      <c r="E4" s="5">
        <v>10.0</v>
      </c>
      <c r="F4" s="5">
        <f t="shared" ref="F4:G4" si="3">E4*2</f>
        <v>20</v>
      </c>
      <c r="G4" s="5">
        <f t="shared" si="3"/>
        <v>40</v>
      </c>
      <c r="H4" s="5">
        <v>70.0</v>
      </c>
      <c r="I4" s="5">
        <v>110.0</v>
      </c>
    </row>
    <row r="5">
      <c r="A5" s="2"/>
      <c r="B5" s="2"/>
      <c r="C5" s="2"/>
      <c r="D5" s="1" t="s">
        <v>24</v>
      </c>
      <c r="E5" s="5">
        <v>10.0</v>
      </c>
      <c r="F5" s="5">
        <f t="shared" ref="F5:G5" si="4">E5*2</f>
        <v>20</v>
      </c>
      <c r="G5" s="5">
        <f t="shared" si="4"/>
        <v>40</v>
      </c>
      <c r="H5" s="5">
        <v>70.0</v>
      </c>
      <c r="I5" s="5">
        <v>110.0</v>
      </c>
    </row>
    <row r="6">
      <c r="A6" s="2"/>
      <c r="B6" s="2"/>
      <c r="C6" s="2"/>
      <c r="D6" s="7" t="s">
        <v>27</v>
      </c>
      <c r="E6" s="2"/>
      <c r="F6" s="2"/>
      <c r="G6" s="2"/>
      <c r="H6" s="2"/>
      <c r="I6" s="2"/>
    </row>
    <row r="7">
      <c r="A7" s="7" t="s">
        <v>29</v>
      </c>
      <c r="B7" s="8" t="s">
        <v>30</v>
      </c>
      <c r="C7" s="2"/>
      <c r="D7" s="1" t="s">
        <v>31</v>
      </c>
      <c r="E7" s="5">
        <v>10.0</v>
      </c>
      <c r="F7" s="5">
        <f t="shared" ref="F7:G7" si="5">E7*2</f>
        <v>20</v>
      </c>
      <c r="G7" s="5">
        <f t="shared" si="5"/>
        <v>40</v>
      </c>
      <c r="H7" s="5">
        <v>70.0</v>
      </c>
      <c r="I7" s="5">
        <v>110.0</v>
      </c>
    </row>
    <row r="8">
      <c r="A8" s="2"/>
      <c r="B8" s="2"/>
      <c r="C8" s="2"/>
      <c r="D8" s="1" t="s">
        <v>35</v>
      </c>
      <c r="E8" s="5">
        <v>10.0</v>
      </c>
      <c r="F8" s="5">
        <f t="shared" ref="F8:G8" si="6">E8*2</f>
        <v>20</v>
      </c>
      <c r="G8" s="5">
        <f t="shared" si="6"/>
        <v>40</v>
      </c>
      <c r="H8" s="5">
        <v>70.0</v>
      </c>
      <c r="I8" s="5">
        <v>110.0</v>
      </c>
    </row>
    <row r="9">
      <c r="A9" s="10" t="s">
        <v>39</v>
      </c>
      <c r="B9" s="8" t="s">
        <v>40</v>
      </c>
      <c r="C9" s="2"/>
      <c r="D9" s="7" t="s">
        <v>41</v>
      </c>
      <c r="E9" s="2"/>
      <c r="F9" s="2"/>
      <c r="G9" s="2"/>
      <c r="H9" s="2"/>
      <c r="I9" s="2"/>
    </row>
    <row r="10">
      <c r="A10" s="2"/>
      <c r="B10" s="2"/>
      <c r="C10" s="2"/>
      <c r="D10" s="1" t="s">
        <v>43</v>
      </c>
      <c r="E10" s="5">
        <v>10.0</v>
      </c>
      <c r="F10" s="5">
        <f t="shared" ref="F10:G10" si="7">E10*2</f>
        <v>20</v>
      </c>
      <c r="G10" s="5">
        <f t="shared" si="7"/>
        <v>40</v>
      </c>
      <c r="H10" s="5">
        <v>70.0</v>
      </c>
      <c r="I10" s="5">
        <v>110.0</v>
      </c>
    </row>
    <row r="11">
      <c r="A11" s="12" t="s">
        <v>44</v>
      </c>
      <c r="B11" s="8" t="s">
        <v>46</v>
      </c>
      <c r="C11" s="2"/>
      <c r="D11" s="7" t="s">
        <v>47</v>
      </c>
      <c r="E11" s="2"/>
      <c r="F11" s="2"/>
      <c r="G11" s="2"/>
      <c r="H11" s="2"/>
      <c r="I11" s="2"/>
    </row>
    <row r="12">
      <c r="A12" s="2"/>
      <c r="B12" s="2"/>
      <c r="C12" s="2"/>
      <c r="D12" s="1" t="s">
        <v>48</v>
      </c>
      <c r="E12" s="5">
        <v>10.0</v>
      </c>
      <c r="F12" s="5">
        <f t="shared" ref="F12:G12" si="8">E12*2</f>
        <v>20</v>
      </c>
      <c r="G12" s="5">
        <f t="shared" si="8"/>
        <v>40</v>
      </c>
      <c r="H12" s="5">
        <v>70.0</v>
      </c>
      <c r="I12" s="5">
        <v>110.0</v>
      </c>
    </row>
    <row r="13">
      <c r="A13" s="2"/>
      <c r="B13" s="2"/>
      <c r="C13" s="2"/>
      <c r="D13" s="7" t="s">
        <v>51</v>
      </c>
      <c r="E13" s="2"/>
      <c r="F13" s="2"/>
      <c r="G13" s="2"/>
      <c r="H13" s="2"/>
      <c r="I13" s="2"/>
    </row>
    <row r="14">
      <c r="A14" s="2"/>
      <c r="B14" s="2"/>
      <c r="C14" s="2"/>
      <c r="D14" s="7" t="s">
        <v>53</v>
      </c>
      <c r="E14" s="2"/>
      <c r="F14" s="2"/>
      <c r="G14" s="2"/>
      <c r="H14" s="2"/>
      <c r="I14" s="2"/>
    </row>
    <row r="15">
      <c r="A15" s="2"/>
      <c r="B15" s="2"/>
      <c r="C15" s="2"/>
      <c r="D15" s="1" t="s">
        <v>54</v>
      </c>
      <c r="E15" s="5">
        <v>10.0</v>
      </c>
      <c r="F15" s="5">
        <f t="shared" ref="F15:G15" si="9">E15*2</f>
        <v>20</v>
      </c>
      <c r="G15" s="5">
        <f t="shared" si="9"/>
        <v>40</v>
      </c>
      <c r="H15" s="5">
        <v>70.0</v>
      </c>
      <c r="I15" s="5">
        <v>110.0</v>
      </c>
    </row>
    <row r="16">
      <c r="A16" s="2"/>
      <c r="B16" s="2"/>
      <c r="C16" s="2"/>
      <c r="D16" s="1" t="s">
        <v>56</v>
      </c>
      <c r="E16" s="5">
        <v>10.0</v>
      </c>
      <c r="F16" s="5">
        <f t="shared" ref="F16:G16" si="10">E16*2</f>
        <v>20</v>
      </c>
      <c r="G16" s="5">
        <f t="shared" si="10"/>
        <v>40</v>
      </c>
      <c r="H16" s="5">
        <v>70.0</v>
      </c>
      <c r="I16" s="5">
        <v>110.0</v>
      </c>
    </row>
    <row r="17">
      <c r="A17" s="2"/>
      <c r="B17" s="2"/>
      <c r="C17" s="2"/>
      <c r="D17" s="1" t="s">
        <v>58</v>
      </c>
      <c r="E17" s="5">
        <v>10.0</v>
      </c>
      <c r="F17" s="5">
        <f t="shared" ref="F17:G17" si="11">E17*2</f>
        <v>20</v>
      </c>
      <c r="G17" s="5">
        <f t="shared" si="11"/>
        <v>40</v>
      </c>
      <c r="H17" s="5">
        <v>70.0</v>
      </c>
      <c r="I17" s="5">
        <v>110.0</v>
      </c>
    </row>
    <row r="18">
      <c r="A18" s="2"/>
      <c r="B18" s="2"/>
      <c r="C18" s="2"/>
      <c r="D18" s="1" t="s">
        <v>60</v>
      </c>
      <c r="E18" s="5">
        <v>10.0</v>
      </c>
      <c r="F18" s="5">
        <f t="shared" ref="F18:G18" si="12">E18*2</f>
        <v>20</v>
      </c>
      <c r="G18" s="5">
        <f t="shared" si="12"/>
        <v>40</v>
      </c>
      <c r="H18" s="5">
        <v>70.0</v>
      </c>
      <c r="I18" s="5">
        <v>110.0</v>
      </c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 t="s">
        <v>3</v>
      </c>
      <c r="E20" s="2"/>
      <c r="F20" s="2"/>
      <c r="G20" s="2"/>
      <c r="H20" s="2"/>
      <c r="I20" s="2"/>
    </row>
    <row r="21">
      <c r="A21" s="2"/>
      <c r="B21" s="2"/>
      <c r="C21" s="2"/>
      <c r="D21" s="1" t="s">
        <v>62</v>
      </c>
      <c r="E21" s="5">
        <v>10.0</v>
      </c>
      <c r="F21" s="5">
        <f t="shared" ref="F21:G21" si="13">E21*2</f>
        <v>20</v>
      </c>
      <c r="G21" s="5">
        <f t="shared" si="13"/>
        <v>40</v>
      </c>
      <c r="H21" s="5">
        <v>70.0</v>
      </c>
      <c r="I21" s="5">
        <v>110.0</v>
      </c>
    </row>
    <row r="22">
      <c r="A22" s="2"/>
      <c r="B22" s="2"/>
      <c r="C22" s="2"/>
      <c r="D22" s="1" t="s">
        <v>64</v>
      </c>
      <c r="E22" s="5">
        <v>10.0</v>
      </c>
      <c r="F22" s="5">
        <f t="shared" ref="F22:G22" si="14">E22*2</f>
        <v>20</v>
      </c>
      <c r="G22" s="5">
        <f t="shared" si="14"/>
        <v>40</v>
      </c>
      <c r="H22" s="5">
        <v>70.0</v>
      </c>
      <c r="I22" s="5">
        <v>110.0</v>
      </c>
    </row>
    <row r="23">
      <c r="A23" s="2"/>
      <c r="B23" s="2"/>
      <c r="C23" s="2"/>
      <c r="D23" s="1" t="s">
        <v>66</v>
      </c>
      <c r="E23" s="5">
        <v>20.0</v>
      </c>
      <c r="F23" s="5">
        <v>40.0</v>
      </c>
      <c r="G23" s="5">
        <v>70.0</v>
      </c>
      <c r="H23" s="2"/>
      <c r="I23" s="2"/>
    </row>
    <row r="24">
      <c r="A24" s="2"/>
      <c r="B24" s="2"/>
      <c r="C24" s="2"/>
      <c r="D24" s="1" t="s">
        <v>67</v>
      </c>
      <c r="E24" s="5">
        <v>10.0</v>
      </c>
      <c r="F24" s="5">
        <f t="shared" ref="F24:G24" si="15">E24*2</f>
        <v>20</v>
      </c>
      <c r="G24" s="5">
        <f t="shared" si="15"/>
        <v>40</v>
      </c>
      <c r="H24" s="5">
        <v>70.0</v>
      </c>
      <c r="I24" s="5">
        <v>110.0</v>
      </c>
    </row>
    <row r="25">
      <c r="A25" s="2"/>
      <c r="B25" s="2"/>
      <c r="C25" s="2"/>
      <c r="D25" s="1" t="s">
        <v>69</v>
      </c>
      <c r="E25" s="5">
        <v>10.0</v>
      </c>
      <c r="F25" s="5">
        <f t="shared" ref="F25:G25" si="16">E25*2</f>
        <v>20</v>
      </c>
      <c r="G25" s="5">
        <f t="shared" si="16"/>
        <v>40</v>
      </c>
      <c r="H25" s="5">
        <v>70.0</v>
      </c>
      <c r="I25" s="5">
        <v>110.0</v>
      </c>
    </row>
    <row r="26">
      <c r="A26" s="2"/>
      <c r="B26" s="2"/>
      <c r="C26" s="2"/>
      <c r="D26" s="14" t="s">
        <v>71</v>
      </c>
      <c r="E26" s="2"/>
      <c r="F26" s="2"/>
      <c r="G26" s="2"/>
      <c r="H26" s="2"/>
      <c r="I26" s="2"/>
    </row>
    <row r="27">
      <c r="A27" s="2"/>
      <c r="B27" s="2"/>
      <c r="C27" s="2"/>
      <c r="D27" s="9" t="s">
        <v>72</v>
      </c>
      <c r="E27" s="5">
        <v>10.0</v>
      </c>
      <c r="F27" s="5">
        <f t="shared" ref="F27:G27" si="17">E27*2</f>
        <v>20</v>
      </c>
      <c r="G27" s="5">
        <f t="shared" si="17"/>
        <v>40</v>
      </c>
      <c r="H27" s="5">
        <v>70.0</v>
      </c>
      <c r="I27" s="5">
        <v>110.0</v>
      </c>
    </row>
    <row r="28">
      <c r="A28" s="2"/>
      <c r="B28" s="2"/>
      <c r="C28" s="2"/>
      <c r="D28" s="1" t="s">
        <v>73</v>
      </c>
      <c r="E28" s="5">
        <v>10.0</v>
      </c>
      <c r="F28" s="5">
        <f t="shared" ref="F28:G28" si="18">E28*2</f>
        <v>20</v>
      </c>
      <c r="G28" s="5">
        <f t="shared" si="18"/>
        <v>40</v>
      </c>
      <c r="H28" s="5">
        <v>70.0</v>
      </c>
      <c r="I28" s="5">
        <v>110.0</v>
      </c>
    </row>
    <row r="29">
      <c r="A29" s="2"/>
      <c r="B29" s="2"/>
      <c r="C29" s="2"/>
      <c r="D29" s="1" t="s">
        <v>74</v>
      </c>
      <c r="E29" s="5">
        <v>10.0</v>
      </c>
      <c r="F29" s="5">
        <f t="shared" ref="F29:G29" si="19">E29*2</f>
        <v>20</v>
      </c>
      <c r="G29" s="5">
        <f t="shared" si="19"/>
        <v>40</v>
      </c>
      <c r="H29" s="5">
        <v>70.0</v>
      </c>
      <c r="I29" s="5">
        <v>110.0</v>
      </c>
    </row>
    <row r="30">
      <c r="A30" s="2"/>
      <c r="B30" s="2"/>
      <c r="C30" s="2"/>
      <c r="D30" s="1" t="s">
        <v>75</v>
      </c>
      <c r="E30" s="5">
        <v>20.0</v>
      </c>
      <c r="F30" s="5">
        <v>40.0</v>
      </c>
      <c r="G30" s="2"/>
      <c r="H30" s="2"/>
      <c r="I30" s="2"/>
    </row>
    <row r="31">
      <c r="A31" s="2"/>
      <c r="B31" s="2"/>
      <c r="C31" s="2"/>
      <c r="D31" s="9" t="s">
        <v>76</v>
      </c>
      <c r="E31" s="5">
        <v>10.0</v>
      </c>
      <c r="F31" s="5">
        <f t="shared" ref="F31:G31" si="20">E31*2</f>
        <v>20</v>
      </c>
      <c r="G31" s="5">
        <f t="shared" si="20"/>
        <v>40</v>
      </c>
      <c r="H31" s="5">
        <v>70.0</v>
      </c>
      <c r="I31" s="5">
        <v>110.0</v>
      </c>
    </row>
    <row r="32">
      <c r="A32" s="2"/>
      <c r="B32" s="2"/>
      <c r="C32" s="2"/>
      <c r="D32" s="1" t="s">
        <v>77</v>
      </c>
      <c r="E32" s="5">
        <v>20.0</v>
      </c>
      <c r="F32" s="5">
        <v>40.0</v>
      </c>
      <c r="G32" s="2"/>
      <c r="H32" s="2"/>
      <c r="I32" s="2"/>
    </row>
    <row r="33">
      <c r="A33" s="2"/>
      <c r="B33" s="2"/>
      <c r="C33" s="2"/>
      <c r="D33" s="14" t="s">
        <v>78</v>
      </c>
      <c r="E33" s="2"/>
      <c r="F33" s="2"/>
      <c r="G33" s="2"/>
      <c r="H33" s="2"/>
      <c r="I33" s="2"/>
    </row>
    <row r="34">
      <c r="A34" s="2"/>
      <c r="B34" s="2"/>
      <c r="C34" s="2"/>
      <c r="D34" s="14" t="s">
        <v>79</v>
      </c>
      <c r="E34" s="2"/>
      <c r="F34" s="2"/>
      <c r="G34" s="2"/>
      <c r="H34" s="2"/>
      <c r="I34" s="2"/>
    </row>
    <row r="35">
      <c r="A35" s="2"/>
      <c r="B35" s="2"/>
      <c r="C35" s="2"/>
      <c r="D35" s="14" t="s">
        <v>80</v>
      </c>
      <c r="E35" s="2"/>
      <c r="F35" s="2"/>
      <c r="G35" s="2"/>
      <c r="H35" s="2"/>
      <c r="I35" s="2"/>
    </row>
    <row r="36">
      <c r="A36" s="2"/>
      <c r="B36" s="2"/>
      <c r="C36" s="2"/>
      <c r="D36" s="1" t="s">
        <v>81</v>
      </c>
      <c r="E36" s="5">
        <v>20.0</v>
      </c>
      <c r="F36" s="5">
        <v>40.0</v>
      </c>
      <c r="G36" s="5">
        <v>80.0</v>
      </c>
      <c r="H36" s="5">
        <v>140.0</v>
      </c>
      <c r="I36" s="5">
        <v>220.0</v>
      </c>
    </row>
    <row r="37">
      <c r="A37" s="2"/>
      <c r="B37" s="2"/>
      <c r="C37" s="2"/>
      <c r="D37" s="6" t="s">
        <v>82</v>
      </c>
      <c r="E37" s="5">
        <v>10.0</v>
      </c>
      <c r="F37" s="5">
        <f t="shared" ref="F37:G37" si="21">E37*2</f>
        <v>20</v>
      </c>
      <c r="G37" s="5">
        <f t="shared" si="21"/>
        <v>40</v>
      </c>
      <c r="H37" s="5">
        <v>70.0</v>
      </c>
      <c r="I37" s="5">
        <v>110.0</v>
      </c>
    </row>
    <row r="38">
      <c r="A38" s="2"/>
      <c r="B38" s="2"/>
      <c r="C38" s="2"/>
      <c r="D38" s="1" t="s">
        <v>83</v>
      </c>
      <c r="E38" s="5">
        <v>20.0</v>
      </c>
      <c r="F38" s="5">
        <v>40.0</v>
      </c>
      <c r="G38" s="5">
        <v>80.0</v>
      </c>
      <c r="H38" s="5">
        <v>140.0</v>
      </c>
      <c r="I38" s="5">
        <v>220.0</v>
      </c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 t="s">
        <v>16</v>
      </c>
      <c r="E40" s="2"/>
      <c r="F40" s="2"/>
      <c r="G40" s="2"/>
      <c r="H40" s="2"/>
      <c r="I40" s="2"/>
    </row>
    <row r="41">
      <c r="A41" s="2"/>
      <c r="B41" s="2"/>
      <c r="C41" s="2"/>
      <c r="D41" s="1" t="s">
        <v>86</v>
      </c>
      <c r="E41" s="5">
        <v>10.0</v>
      </c>
      <c r="F41" s="5">
        <f t="shared" ref="F41:G41" si="22">E41*2</f>
        <v>20</v>
      </c>
      <c r="G41" s="5">
        <f t="shared" si="22"/>
        <v>40</v>
      </c>
      <c r="H41" s="5">
        <v>70.0</v>
      </c>
      <c r="I41" s="5">
        <v>110.0</v>
      </c>
    </row>
    <row r="42">
      <c r="A42" s="2"/>
      <c r="B42" s="2"/>
      <c r="C42" s="2"/>
      <c r="D42" s="1" t="s">
        <v>87</v>
      </c>
      <c r="E42" s="5">
        <v>10.0</v>
      </c>
      <c r="F42" s="5">
        <f t="shared" ref="F42:G42" si="23">E42*2</f>
        <v>20</v>
      </c>
      <c r="G42" s="5">
        <f t="shared" si="23"/>
        <v>40</v>
      </c>
      <c r="H42" s="5">
        <v>70.0</v>
      </c>
      <c r="I42" s="5">
        <v>110.0</v>
      </c>
    </row>
    <row r="43">
      <c r="A43" s="2"/>
      <c r="B43" s="2"/>
      <c r="C43" s="2"/>
      <c r="D43" s="1" t="s">
        <v>88</v>
      </c>
      <c r="E43" s="5">
        <v>10.0</v>
      </c>
      <c r="F43" s="5">
        <f t="shared" ref="F43:G43" si="24">E43*2</f>
        <v>20</v>
      </c>
      <c r="G43" s="5">
        <f t="shared" si="24"/>
        <v>40</v>
      </c>
      <c r="H43" s="5">
        <v>70.0</v>
      </c>
      <c r="I43" s="5">
        <v>110.0</v>
      </c>
    </row>
    <row r="44">
      <c r="A44" s="2"/>
      <c r="B44" s="2"/>
      <c r="C44" s="2"/>
      <c r="D44" s="1" t="s">
        <v>89</v>
      </c>
      <c r="E44" s="5">
        <v>10.0</v>
      </c>
      <c r="F44" s="5">
        <f t="shared" ref="F44:G44" si="25">E44*2</f>
        <v>20</v>
      </c>
      <c r="G44" s="5">
        <f t="shared" si="25"/>
        <v>40</v>
      </c>
      <c r="H44" s="5">
        <v>70.0</v>
      </c>
      <c r="I44" s="5">
        <v>110.0</v>
      </c>
    </row>
    <row r="45">
      <c r="A45" s="2"/>
      <c r="B45" s="2"/>
      <c r="C45" s="2"/>
      <c r="D45" s="1" t="s">
        <v>90</v>
      </c>
      <c r="E45" s="5">
        <v>10.0</v>
      </c>
      <c r="F45" s="5">
        <f t="shared" ref="F45:G45" si="26">E45*2</f>
        <v>20</v>
      </c>
      <c r="G45" s="5">
        <f t="shared" si="26"/>
        <v>40</v>
      </c>
      <c r="H45" s="5">
        <v>70.0</v>
      </c>
      <c r="I45" s="5">
        <v>110.0</v>
      </c>
    </row>
    <row r="46">
      <c r="A46" s="2"/>
      <c r="B46" s="2"/>
      <c r="C46" s="2"/>
      <c r="D46" s="1" t="s">
        <v>91</v>
      </c>
      <c r="E46" s="5">
        <v>10.0</v>
      </c>
      <c r="F46" s="5">
        <f t="shared" ref="F46:G46" si="27">E46*2</f>
        <v>20</v>
      </c>
      <c r="G46" s="5">
        <f t="shared" si="27"/>
        <v>40</v>
      </c>
      <c r="H46" s="5">
        <v>70.0</v>
      </c>
      <c r="I46" s="5">
        <v>110.0</v>
      </c>
    </row>
    <row r="47">
      <c r="A47" s="2"/>
      <c r="B47" s="2"/>
      <c r="C47" s="2"/>
      <c r="D47" s="1" t="s">
        <v>92</v>
      </c>
      <c r="E47" s="5">
        <v>10.0</v>
      </c>
      <c r="F47" s="5">
        <f t="shared" ref="F47:G47" si="28">E47*2</f>
        <v>20</v>
      </c>
      <c r="G47" s="5">
        <f t="shared" si="28"/>
        <v>40</v>
      </c>
      <c r="H47" s="5">
        <v>70.0</v>
      </c>
      <c r="I47" s="5">
        <v>110.0</v>
      </c>
    </row>
    <row r="48">
      <c r="A48" s="2"/>
      <c r="B48" s="2"/>
      <c r="C48" s="2"/>
      <c r="D48" s="1" t="s">
        <v>93</v>
      </c>
      <c r="E48" s="5">
        <v>10.0</v>
      </c>
      <c r="F48" s="5">
        <f t="shared" ref="F48:G48" si="29">E48*2</f>
        <v>20</v>
      </c>
      <c r="G48" s="5">
        <f t="shared" si="29"/>
        <v>40</v>
      </c>
      <c r="H48" s="5">
        <v>70.0</v>
      </c>
      <c r="I48" s="5">
        <v>110.0</v>
      </c>
    </row>
    <row r="49">
      <c r="A49" s="2"/>
      <c r="B49" s="2"/>
      <c r="C49" s="2"/>
      <c r="D49" s="1" t="s">
        <v>95</v>
      </c>
      <c r="E49" s="5">
        <v>10.0</v>
      </c>
      <c r="F49" s="5">
        <f t="shared" ref="F49:G49" si="30">E49*2</f>
        <v>20</v>
      </c>
      <c r="G49" s="5">
        <f t="shared" si="30"/>
        <v>40</v>
      </c>
      <c r="H49" s="5">
        <v>70.0</v>
      </c>
      <c r="I49" s="5">
        <v>110.0</v>
      </c>
    </row>
    <row r="50">
      <c r="A50" s="2"/>
      <c r="B50" s="2"/>
      <c r="C50" s="2"/>
      <c r="D50" s="1" t="s">
        <v>96</v>
      </c>
      <c r="E50" s="5">
        <v>10.0</v>
      </c>
      <c r="F50" s="5">
        <f t="shared" ref="F50:G50" si="31">E50*2</f>
        <v>20</v>
      </c>
      <c r="G50" s="5">
        <f t="shared" si="31"/>
        <v>40</v>
      </c>
      <c r="H50" s="5">
        <v>70.0</v>
      </c>
      <c r="I50" s="5">
        <v>110.0</v>
      </c>
    </row>
    <row r="51">
      <c r="A51" s="2"/>
      <c r="B51" s="2"/>
      <c r="C51" s="2"/>
      <c r="D51" s="7" t="s">
        <v>97</v>
      </c>
      <c r="E51" s="2"/>
      <c r="F51" s="2"/>
      <c r="G51" s="2"/>
      <c r="H51" s="2"/>
      <c r="I51" s="2"/>
    </row>
    <row r="52">
      <c r="A52" s="2"/>
      <c r="B52" s="2"/>
      <c r="C52" s="2"/>
      <c r="D52" s="1" t="s">
        <v>98</v>
      </c>
      <c r="E52" s="5">
        <v>20.0</v>
      </c>
      <c r="F52" s="5">
        <v>40.0</v>
      </c>
      <c r="G52" s="5">
        <v>80.0</v>
      </c>
      <c r="H52" s="2"/>
      <c r="I52" s="2"/>
    </row>
    <row r="53">
      <c r="A53" s="2"/>
      <c r="B53" s="2"/>
      <c r="C53" s="2"/>
      <c r="D53" s="1" t="s">
        <v>99</v>
      </c>
      <c r="E53" s="5">
        <v>20.0</v>
      </c>
      <c r="F53" s="5">
        <v>40.0</v>
      </c>
      <c r="G53" s="5">
        <v>80.0</v>
      </c>
      <c r="H53" s="2"/>
      <c r="I53" s="2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2"/>
      <c r="B55" s="2"/>
      <c r="C55" s="2"/>
      <c r="D55" s="2" t="s">
        <v>21</v>
      </c>
      <c r="E55" s="2"/>
      <c r="F55" s="2"/>
      <c r="G55" s="2"/>
      <c r="H55" s="2"/>
      <c r="I55" s="2"/>
    </row>
    <row r="56">
      <c r="A56" s="2"/>
      <c r="B56" s="2"/>
      <c r="C56" s="2"/>
      <c r="D56" s="1" t="s">
        <v>100</v>
      </c>
      <c r="E56" s="5">
        <v>5.0</v>
      </c>
      <c r="F56" s="5">
        <v>10.0</v>
      </c>
      <c r="G56" s="5">
        <v>20.0</v>
      </c>
      <c r="H56" s="5">
        <v>35.0</v>
      </c>
      <c r="I56" s="5">
        <v>55.0</v>
      </c>
    </row>
    <row r="57">
      <c r="A57" s="2"/>
      <c r="B57" s="2"/>
      <c r="C57" s="2"/>
      <c r="D57" s="6" t="s">
        <v>101</v>
      </c>
      <c r="E57" s="5">
        <v>10.0</v>
      </c>
      <c r="F57" s="5">
        <f t="shared" ref="F57:G57" si="32">E57*2</f>
        <v>20</v>
      </c>
      <c r="G57" s="5">
        <f t="shared" si="32"/>
        <v>40</v>
      </c>
      <c r="H57" s="5">
        <v>70.0</v>
      </c>
      <c r="I57" s="5">
        <v>110.0</v>
      </c>
    </row>
    <row r="58">
      <c r="A58" s="2"/>
      <c r="B58" s="2"/>
      <c r="C58" s="2"/>
      <c r="D58" s="6" t="s">
        <v>102</v>
      </c>
      <c r="E58" s="5">
        <v>10.0</v>
      </c>
      <c r="F58" s="5">
        <f t="shared" ref="F58:G58" si="33">E58*2</f>
        <v>20</v>
      </c>
      <c r="G58" s="5">
        <f t="shared" si="33"/>
        <v>40</v>
      </c>
      <c r="H58" s="5">
        <v>70.0</v>
      </c>
      <c r="I58" s="5">
        <v>110.0</v>
      </c>
    </row>
    <row r="59">
      <c r="A59" s="2"/>
      <c r="B59" s="2"/>
      <c r="C59" s="2"/>
      <c r="D59" s="6" t="s">
        <v>104</v>
      </c>
      <c r="E59" s="5">
        <v>10.0</v>
      </c>
      <c r="F59" s="5">
        <f t="shared" ref="F59:G59" si="34">E59*2</f>
        <v>20</v>
      </c>
      <c r="G59" s="5">
        <f t="shared" si="34"/>
        <v>40</v>
      </c>
      <c r="H59" s="5">
        <v>70.0</v>
      </c>
      <c r="I59" s="5">
        <v>110.0</v>
      </c>
    </row>
    <row r="60">
      <c r="A60" s="2"/>
      <c r="B60" s="2"/>
      <c r="C60" s="2"/>
      <c r="D60" s="6" t="s">
        <v>105</v>
      </c>
      <c r="E60" s="5">
        <v>10.0</v>
      </c>
      <c r="F60" s="5">
        <f t="shared" ref="F60:G60" si="35">E60*2</f>
        <v>20</v>
      </c>
      <c r="G60" s="5">
        <f t="shared" si="35"/>
        <v>40</v>
      </c>
      <c r="H60" s="5">
        <v>70.0</v>
      </c>
      <c r="I60" s="5">
        <v>110.0</v>
      </c>
    </row>
    <row r="61">
      <c r="A61" s="2"/>
      <c r="B61" s="2"/>
      <c r="C61" s="2"/>
      <c r="D61" s="6" t="s">
        <v>106</v>
      </c>
      <c r="E61" s="5">
        <v>10.0</v>
      </c>
      <c r="F61" s="5">
        <f t="shared" ref="F61:G61" si="36">E61*2</f>
        <v>20</v>
      </c>
      <c r="G61" s="5">
        <f t="shared" si="36"/>
        <v>40</v>
      </c>
      <c r="H61" s="5">
        <v>70.0</v>
      </c>
      <c r="I61" s="5">
        <v>110.0</v>
      </c>
    </row>
    <row r="62">
      <c r="A62" s="2"/>
      <c r="B62" s="2"/>
      <c r="C62" s="2"/>
      <c r="D62" s="6" t="s">
        <v>107</v>
      </c>
      <c r="E62" s="5">
        <v>10.0</v>
      </c>
      <c r="F62" s="5">
        <f t="shared" ref="F62:G62" si="37">E62*2</f>
        <v>20</v>
      </c>
      <c r="G62" s="5">
        <f t="shared" si="37"/>
        <v>40</v>
      </c>
      <c r="H62" s="5">
        <v>70.0</v>
      </c>
      <c r="I62" s="5">
        <v>110.0</v>
      </c>
    </row>
    <row r="63">
      <c r="A63" s="2"/>
      <c r="B63" s="2"/>
      <c r="C63" s="2"/>
      <c r="D63" s="6" t="s">
        <v>108</v>
      </c>
      <c r="E63" s="5">
        <v>10.0</v>
      </c>
      <c r="F63" s="5">
        <f t="shared" ref="F63:G63" si="38">E63*2</f>
        <v>20</v>
      </c>
      <c r="G63" s="5">
        <f t="shared" si="38"/>
        <v>40</v>
      </c>
      <c r="H63" s="5">
        <v>70.0</v>
      </c>
      <c r="I63" s="5">
        <v>110.0</v>
      </c>
    </row>
    <row r="64">
      <c r="A64" s="2"/>
      <c r="B64" s="2"/>
      <c r="C64" s="2"/>
      <c r="D64" s="6" t="s">
        <v>109</v>
      </c>
      <c r="E64" s="5">
        <v>10.0</v>
      </c>
      <c r="F64" s="5">
        <f t="shared" ref="F64:G64" si="39">E64*2</f>
        <v>20</v>
      </c>
      <c r="G64" s="5">
        <f t="shared" si="39"/>
        <v>40</v>
      </c>
      <c r="H64" s="5">
        <v>70.0</v>
      </c>
      <c r="I64" s="5">
        <v>110.0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34" width="2.88"/>
    <col customWidth="1" min="35" max="35" width="3.75"/>
    <col customWidth="1" min="36" max="36" width="4.7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1" t="s">
        <v>10</v>
      </c>
      <c r="B2" s="1" t="s">
        <v>1</v>
      </c>
      <c r="C2" s="2"/>
      <c r="D2" s="2"/>
      <c r="E2" s="2" t="s">
        <v>10</v>
      </c>
      <c r="F2" s="5">
        <v>1.0</v>
      </c>
      <c r="G2" s="5">
        <v>2.0</v>
      </c>
      <c r="H2" s="5">
        <v>3.0</v>
      </c>
      <c r="I2" s="5">
        <v>4.0</v>
      </c>
      <c r="J2" s="5">
        <v>5.0</v>
      </c>
      <c r="K2" s="5">
        <v>6.0</v>
      </c>
      <c r="L2" s="5">
        <v>7.0</v>
      </c>
      <c r="M2" s="5">
        <v>8.0</v>
      </c>
      <c r="N2" s="5">
        <v>9.0</v>
      </c>
      <c r="O2" s="5">
        <v>10.0</v>
      </c>
      <c r="P2" s="5">
        <f t="shared" ref="P2:AI2" si="1">O2+1</f>
        <v>11</v>
      </c>
      <c r="Q2" s="5">
        <f t="shared" si="1"/>
        <v>12</v>
      </c>
      <c r="R2" s="5">
        <f t="shared" si="1"/>
        <v>13</v>
      </c>
      <c r="S2" s="5">
        <f t="shared" si="1"/>
        <v>14</v>
      </c>
      <c r="T2" s="5">
        <f t="shared" si="1"/>
        <v>15</v>
      </c>
      <c r="U2" s="5">
        <f t="shared" si="1"/>
        <v>16</v>
      </c>
      <c r="V2" s="5">
        <f t="shared" si="1"/>
        <v>17</v>
      </c>
      <c r="W2" s="5">
        <f t="shared" si="1"/>
        <v>18</v>
      </c>
      <c r="X2" s="5">
        <f t="shared" si="1"/>
        <v>19</v>
      </c>
      <c r="Y2" s="5">
        <f t="shared" si="1"/>
        <v>20</v>
      </c>
      <c r="Z2" s="5">
        <f t="shared" si="1"/>
        <v>21</v>
      </c>
      <c r="AA2" s="5">
        <f t="shared" si="1"/>
        <v>22</v>
      </c>
      <c r="AB2" s="5">
        <f t="shared" si="1"/>
        <v>23</v>
      </c>
      <c r="AC2" s="5">
        <f t="shared" si="1"/>
        <v>24</v>
      </c>
      <c r="AD2" s="5">
        <f t="shared" si="1"/>
        <v>25</v>
      </c>
      <c r="AE2" s="5">
        <f t="shared" si="1"/>
        <v>26</v>
      </c>
      <c r="AF2" s="5">
        <f t="shared" si="1"/>
        <v>27</v>
      </c>
      <c r="AG2" s="5">
        <f t="shared" si="1"/>
        <v>28</v>
      </c>
      <c r="AH2" s="5">
        <f t="shared" si="1"/>
        <v>29</v>
      </c>
      <c r="AI2" s="5">
        <f t="shared" si="1"/>
        <v>30</v>
      </c>
      <c r="AJ2" s="2" t="s">
        <v>32</v>
      </c>
    </row>
    <row r="3">
      <c r="A3" s="1" t="s">
        <v>34</v>
      </c>
      <c r="B3" s="3">
        <v>50.0</v>
      </c>
      <c r="C3" s="2"/>
      <c r="D3" s="1" t="s">
        <v>36</v>
      </c>
      <c r="E3" s="1" t="s">
        <v>37</v>
      </c>
      <c r="F3" s="11">
        <v>25.0</v>
      </c>
      <c r="G3" s="11">
        <f t="shared" ref="G3:AI3" si="2">F3*1.05</f>
        <v>26.25</v>
      </c>
      <c r="H3" s="11">
        <f t="shared" si="2"/>
        <v>27.5625</v>
      </c>
      <c r="I3" s="11">
        <f t="shared" si="2"/>
        <v>28.940625</v>
      </c>
      <c r="J3" s="11">
        <f t="shared" si="2"/>
        <v>30.38765625</v>
      </c>
      <c r="K3" s="11">
        <f t="shared" si="2"/>
        <v>31.90703906</v>
      </c>
      <c r="L3" s="11">
        <f t="shared" si="2"/>
        <v>33.50239102</v>
      </c>
      <c r="M3" s="11">
        <f t="shared" si="2"/>
        <v>35.17751057</v>
      </c>
      <c r="N3" s="11">
        <f t="shared" si="2"/>
        <v>36.93638609</v>
      </c>
      <c r="O3" s="11">
        <f t="shared" si="2"/>
        <v>38.7832054</v>
      </c>
      <c r="P3" s="11">
        <f t="shared" si="2"/>
        <v>40.72236567</v>
      </c>
      <c r="Q3" s="11">
        <f t="shared" si="2"/>
        <v>42.75848395</v>
      </c>
      <c r="R3" s="11">
        <f t="shared" si="2"/>
        <v>44.89640815</v>
      </c>
      <c r="S3" s="11">
        <f t="shared" si="2"/>
        <v>47.14122856</v>
      </c>
      <c r="T3" s="11">
        <f t="shared" si="2"/>
        <v>49.49828999</v>
      </c>
      <c r="U3" s="11">
        <f t="shared" si="2"/>
        <v>51.97320449</v>
      </c>
      <c r="V3" s="11">
        <f t="shared" si="2"/>
        <v>54.57186471</v>
      </c>
      <c r="W3" s="11">
        <f t="shared" si="2"/>
        <v>57.30045795</v>
      </c>
      <c r="X3" s="11">
        <f t="shared" si="2"/>
        <v>60.16548084</v>
      </c>
      <c r="Y3" s="11">
        <f t="shared" si="2"/>
        <v>63.17375488</v>
      </c>
      <c r="Z3" s="11">
        <f t="shared" si="2"/>
        <v>66.33244263</v>
      </c>
      <c r="AA3" s="11">
        <f t="shared" si="2"/>
        <v>69.64906476</v>
      </c>
      <c r="AB3" s="11">
        <f t="shared" si="2"/>
        <v>73.131518</v>
      </c>
      <c r="AC3" s="11">
        <f t="shared" si="2"/>
        <v>76.7880939</v>
      </c>
      <c r="AD3" s="11">
        <f t="shared" si="2"/>
        <v>80.62749859</v>
      </c>
      <c r="AE3" s="11">
        <f t="shared" si="2"/>
        <v>84.65887352</v>
      </c>
      <c r="AF3" s="11">
        <f t="shared" si="2"/>
        <v>88.8918172</v>
      </c>
      <c r="AG3" s="11">
        <f t="shared" si="2"/>
        <v>93.33640806</v>
      </c>
      <c r="AH3" s="11">
        <f t="shared" si="2"/>
        <v>98.00322846</v>
      </c>
      <c r="AI3" s="11">
        <f t="shared" si="2"/>
        <v>102.9033899</v>
      </c>
      <c r="AJ3" s="13">
        <f t="shared" ref="AJ3:AJ11" si="4">SUM(F3:AI3)</f>
        <v>1660.971188</v>
      </c>
    </row>
    <row r="4">
      <c r="A4" s="1" t="s">
        <v>68</v>
      </c>
      <c r="B4" s="3">
        <v>100.0</v>
      </c>
      <c r="C4" s="2"/>
      <c r="D4" s="4"/>
      <c r="E4" s="1" t="s">
        <v>70</v>
      </c>
      <c r="F4" s="11">
        <v>25.0</v>
      </c>
      <c r="G4" s="11">
        <f t="shared" ref="G4:AI4" si="3">F4*1.05</f>
        <v>26.25</v>
      </c>
      <c r="H4" s="11">
        <f t="shared" si="3"/>
        <v>27.5625</v>
      </c>
      <c r="I4" s="11">
        <f t="shared" si="3"/>
        <v>28.940625</v>
      </c>
      <c r="J4" s="11">
        <f t="shared" si="3"/>
        <v>30.38765625</v>
      </c>
      <c r="K4" s="11">
        <f t="shared" si="3"/>
        <v>31.90703906</v>
      </c>
      <c r="L4" s="11">
        <f t="shared" si="3"/>
        <v>33.50239102</v>
      </c>
      <c r="M4" s="11">
        <f t="shared" si="3"/>
        <v>35.17751057</v>
      </c>
      <c r="N4" s="11">
        <f t="shared" si="3"/>
        <v>36.93638609</v>
      </c>
      <c r="O4" s="11">
        <f t="shared" si="3"/>
        <v>38.7832054</v>
      </c>
      <c r="P4" s="11">
        <f t="shared" si="3"/>
        <v>40.72236567</v>
      </c>
      <c r="Q4" s="11">
        <f t="shared" si="3"/>
        <v>42.75848395</v>
      </c>
      <c r="R4" s="11">
        <f t="shared" si="3"/>
        <v>44.89640815</v>
      </c>
      <c r="S4" s="11">
        <f t="shared" si="3"/>
        <v>47.14122856</v>
      </c>
      <c r="T4" s="11">
        <f t="shared" si="3"/>
        <v>49.49828999</v>
      </c>
      <c r="U4" s="11">
        <f t="shared" si="3"/>
        <v>51.97320449</v>
      </c>
      <c r="V4" s="11">
        <f t="shared" si="3"/>
        <v>54.57186471</v>
      </c>
      <c r="W4" s="11">
        <f t="shared" si="3"/>
        <v>57.30045795</v>
      </c>
      <c r="X4" s="11">
        <f t="shared" si="3"/>
        <v>60.16548084</v>
      </c>
      <c r="Y4" s="11">
        <f t="shared" si="3"/>
        <v>63.17375488</v>
      </c>
      <c r="Z4" s="11">
        <f t="shared" si="3"/>
        <v>66.33244263</v>
      </c>
      <c r="AA4" s="11">
        <f t="shared" si="3"/>
        <v>69.64906476</v>
      </c>
      <c r="AB4" s="11">
        <f t="shared" si="3"/>
        <v>73.131518</v>
      </c>
      <c r="AC4" s="11">
        <f t="shared" si="3"/>
        <v>76.7880939</v>
      </c>
      <c r="AD4" s="11">
        <f t="shared" si="3"/>
        <v>80.62749859</v>
      </c>
      <c r="AE4" s="11">
        <f t="shared" si="3"/>
        <v>84.65887352</v>
      </c>
      <c r="AF4" s="11">
        <f t="shared" si="3"/>
        <v>88.8918172</v>
      </c>
      <c r="AG4" s="11">
        <f t="shared" si="3"/>
        <v>93.33640806</v>
      </c>
      <c r="AH4" s="11">
        <f t="shared" si="3"/>
        <v>98.00322846</v>
      </c>
      <c r="AI4" s="11">
        <f t="shared" si="3"/>
        <v>102.9033899</v>
      </c>
      <c r="AJ4" s="13">
        <f t="shared" si="4"/>
        <v>1660.971188</v>
      </c>
    </row>
    <row r="5">
      <c r="A5" s="1" t="s">
        <v>84</v>
      </c>
      <c r="B5" s="3">
        <v>150.0</v>
      </c>
      <c r="C5" s="2"/>
      <c r="D5" s="4"/>
      <c r="E5" s="1" t="s">
        <v>85</v>
      </c>
      <c r="F5" s="11">
        <v>25.0</v>
      </c>
      <c r="G5" s="11">
        <f t="shared" ref="G5:AI5" si="5">F5*1.05</f>
        <v>26.25</v>
      </c>
      <c r="H5" s="11">
        <f t="shared" si="5"/>
        <v>27.5625</v>
      </c>
      <c r="I5" s="11">
        <f t="shared" si="5"/>
        <v>28.940625</v>
      </c>
      <c r="J5" s="11">
        <f t="shared" si="5"/>
        <v>30.38765625</v>
      </c>
      <c r="K5" s="11">
        <f t="shared" si="5"/>
        <v>31.90703906</v>
      </c>
      <c r="L5" s="11">
        <f t="shared" si="5"/>
        <v>33.50239102</v>
      </c>
      <c r="M5" s="11">
        <f t="shared" si="5"/>
        <v>35.17751057</v>
      </c>
      <c r="N5" s="11">
        <f t="shared" si="5"/>
        <v>36.93638609</v>
      </c>
      <c r="O5" s="11">
        <f t="shared" si="5"/>
        <v>38.7832054</v>
      </c>
      <c r="P5" s="11">
        <f t="shared" si="5"/>
        <v>40.72236567</v>
      </c>
      <c r="Q5" s="11">
        <f t="shared" si="5"/>
        <v>42.75848395</v>
      </c>
      <c r="R5" s="11">
        <f t="shared" si="5"/>
        <v>44.89640815</v>
      </c>
      <c r="S5" s="11">
        <f t="shared" si="5"/>
        <v>47.14122856</v>
      </c>
      <c r="T5" s="11">
        <f t="shared" si="5"/>
        <v>49.49828999</v>
      </c>
      <c r="U5" s="11">
        <f t="shared" si="5"/>
        <v>51.97320449</v>
      </c>
      <c r="V5" s="11">
        <f t="shared" si="5"/>
        <v>54.57186471</v>
      </c>
      <c r="W5" s="11">
        <f t="shared" si="5"/>
        <v>57.30045795</v>
      </c>
      <c r="X5" s="11">
        <f t="shared" si="5"/>
        <v>60.16548084</v>
      </c>
      <c r="Y5" s="11">
        <f t="shared" si="5"/>
        <v>63.17375488</v>
      </c>
      <c r="Z5" s="11">
        <f t="shared" si="5"/>
        <v>66.33244263</v>
      </c>
      <c r="AA5" s="11">
        <f t="shared" si="5"/>
        <v>69.64906476</v>
      </c>
      <c r="AB5" s="11">
        <f t="shared" si="5"/>
        <v>73.131518</v>
      </c>
      <c r="AC5" s="11">
        <f t="shared" si="5"/>
        <v>76.7880939</v>
      </c>
      <c r="AD5" s="11">
        <f t="shared" si="5"/>
        <v>80.62749859</v>
      </c>
      <c r="AE5" s="11">
        <f t="shared" si="5"/>
        <v>84.65887352</v>
      </c>
      <c r="AF5" s="11">
        <f t="shared" si="5"/>
        <v>88.8918172</v>
      </c>
      <c r="AG5" s="11">
        <f t="shared" si="5"/>
        <v>93.33640806</v>
      </c>
      <c r="AH5" s="11">
        <f t="shared" si="5"/>
        <v>98.00322846</v>
      </c>
      <c r="AI5" s="11">
        <f t="shared" si="5"/>
        <v>102.9033899</v>
      </c>
      <c r="AJ5" s="13">
        <f t="shared" si="4"/>
        <v>1660.971188</v>
      </c>
    </row>
    <row r="6">
      <c r="A6" s="2"/>
      <c r="B6" s="2"/>
      <c r="C6" s="2"/>
      <c r="D6" s="1" t="s">
        <v>94</v>
      </c>
      <c r="E6" s="1" t="s">
        <v>2</v>
      </c>
      <c r="F6" s="11">
        <v>25.0</v>
      </c>
      <c r="G6" s="11">
        <f t="shared" ref="G6:AI6" si="6">F6*1.05</f>
        <v>26.25</v>
      </c>
      <c r="H6" s="11">
        <f t="shared" si="6"/>
        <v>27.5625</v>
      </c>
      <c r="I6" s="11">
        <f t="shared" si="6"/>
        <v>28.940625</v>
      </c>
      <c r="J6" s="11">
        <f t="shared" si="6"/>
        <v>30.38765625</v>
      </c>
      <c r="K6" s="11">
        <f t="shared" si="6"/>
        <v>31.90703906</v>
      </c>
      <c r="L6" s="11">
        <f t="shared" si="6"/>
        <v>33.50239102</v>
      </c>
      <c r="M6" s="11">
        <f t="shared" si="6"/>
        <v>35.17751057</v>
      </c>
      <c r="N6" s="11">
        <f t="shared" si="6"/>
        <v>36.93638609</v>
      </c>
      <c r="O6" s="11">
        <f t="shared" si="6"/>
        <v>38.7832054</v>
      </c>
      <c r="P6" s="11">
        <f t="shared" si="6"/>
        <v>40.72236567</v>
      </c>
      <c r="Q6" s="11">
        <f t="shared" si="6"/>
        <v>42.75848395</v>
      </c>
      <c r="R6" s="11">
        <f t="shared" si="6"/>
        <v>44.89640815</v>
      </c>
      <c r="S6" s="11">
        <f t="shared" si="6"/>
        <v>47.14122856</v>
      </c>
      <c r="T6" s="11">
        <f t="shared" si="6"/>
        <v>49.49828999</v>
      </c>
      <c r="U6" s="11">
        <f t="shared" si="6"/>
        <v>51.97320449</v>
      </c>
      <c r="V6" s="11">
        <f t="shared" si="6"/>
        <v>54.57186471</v>
      </c>
      <c r="W6" s="11">
        <f t="shared" si="6"/>
        <v>57.30045795</v>
      </c>
      <c r="X6" s="11">
        <f t="shared" si="6"/>
        <v>60.16548084</v>
      </c>
      <c r="Y6" s="11">
        <f t="shared" si="6"/>
        <v>63.17375488</v>
      </c>
      <c r="Z6" s="11">
        <f t="shared" si="6"/>
        <v>66.33244263</v>
      </c>
      <c r="AA6" s="11">
        <f t="shared" si="6"/>
        <v>69.64906476</v>
      </c>
      <c r="AB6" s="11">
        <f t="shared" si="6"/>
        <v>73.131518</v>
      </c>
      <c r="AC6" s="11">
        <f t="shared" si="6"/>
        <v>76.7880939</v>
      </c>
      <c r="AD6" s="11">
        <f t="shared" si="6"/>
        <v>80.62749859</v>
      </c>
      <c r="AE6" s="11">
        <f t="shared" si="6"/>
        <v>84.65887352</v>
      </c>
      <c r="AF6" s="11">
        <f t="shared" si="6"/>
        <v>88.8918172</v>
      </c>
      <c r="AG6" s="11">
        <f t="shared" si="6"/>
        <v>93.33640806</v>
      </c>
      <c r="AH6" s="11">
        <f t="shared" si="6"/>
        <v>98.00322846</v>
      </c>
      <c r="AI6" s="11">
        <f t="shared" si="6"/>
        <v>102.9033899</v>
      </c>
      <c r="AJ6" s="13">
        <f t="shared" si="4"/>
        <v>1660.971188</v>
      </c>
    </row>
    <row r="7">
      <c r="A7" s="2"/>
      <c r="B7" s="2"/>
      <c r="C7" s="2"/>
      <c r="D7" s="4"/>
      <c r="E7" s="1" t="s">
        <v>103</v>
      </c>
      <c r="F7" s="11">
        <v>25.0</v>
      </c>
      <c r="G7" s="11">
        <f t="shared" ref="G7:AI7" si="7">F7*1.05</f>
        <v>26.25</v>
      </c>
      <c r="H7" s="11">
        <f t="shared" si="7"/>
        <v>27.5625</v>
      </c>
      <c r="I7" s="11">
        <f t="shared" si="7"/>
        <v>28.940625</v>
      </c>
      <c r="J7" s="11">
        <f t="shared" si="7"/>
        <v>30.38765625</v>
      </c>
      <c r="K7" s="11">
        <f t="shared" si="7"/>
        <v>31.90703906</v>
      </c>
      <c r="L7" s="11">
        <f t="shared" si="7"/>
        <v>33.50239102</v>
      </c>
      <c r="M7" s="11">
        <f t="shared" si="7"/>
        <v>35.17751057</v>
      </c>
      <c r="N7" s="11">
        <f t="shared" si="7"/>
        <v>36.93638609</v>
      </c>
      <c r="O7" s="11">
        <f t="shared" si="7"/>
        <v>38.7832054</v>
      </c>
      <c r="P7" s="11">
        <f t="shared" si="7"/>
        <v>40.72236567</v>
      </c>
      <c r="Q7" s="11">
        <f t="shared" si="7"/>
        <v>42.75848395</v>
      </c>
      <c r="R7" s="11">
        <f t="shared" si="7"/>
        <v>44.89640815</v>
      </c>
      <c r="S7" s="11">
        <f t="shared" si="7"/>
        <v>47.14122856</v>
      </c>
      <c r="T7" s="11">
        <f t="shared" si="7"/>
        <v>49.49828999</v>
      </c>
      <c r="U7" s="11">
        <f t="shared" si="7"/>
        <v>51.97320449</v>
      </c>
      <c r="V7" s="11">
        <f t="shared" si="7"/>
        <v>54.57186471</v>
      </c>
      <c r="W7" s="11">
        <f t="shared" si="7"/>
        <v>57.30045795</v>
      </c>
      <c r="X7" s="11">
        <f t="shared" si="7"/>
        <v>60.16548084</v>
      </c>
      <c r="Y7" s="11">
        <f t="shared" si="7"/>
        <v>63.17375488</v>
      </c>
      <c r="Z7" s="11">
        <f t="shared" si="7"/>
        <v>66.33244263</v>
      </c>
      <c r="AA7" s="11">
        <f t="shared" si="7"/>
        <v>69.64906476</v>
      </c>
      <c r="AB7" s="11">
        <f t="shared" si="7"/>
        <v>73.131518</v>
      </c>
      <c r="AC7" s="11">
        <f t="shared" si="7"/>
        <v>76.7880939</v>
      </c>
      <c r="AD7" s="11">
        <f t="shared" si="7"/>
        <v>80.62749859</v>
      </c>
      <c r="AE7" s="11">
        <f t="shared" si="7"/>
        <v>84.65887352</v>
      </c>
      <c r="AF7" s="11">
        <f t="shared" si="7"/>
        <v>88.8918172</v>
      </c>
      <c r="AG7" s="11">
        <f t="shared" si="7"/>
        <v>93.33640806</v>
      </c>
      <c r="AH7" s="11">
        <f t="shared" si="7"/>
        <v>98.00322846</v>
      </c>
      <c r="AI7" s="11">
        <f t="shared" si="7"/>
        <v>102.9033899</v>
      </c>
      <c r="AJ7" s="13">
        <f t="shared" si="4"/>
        <v>1660.971188</v>
      </c>
    </row>
    <row r="8">
      <c r="A8" s="2"/>
      <c r="B8" s="2"/>
      <c r="C8" s="2"/>
      <c r="D8" s="4"/>
      <c r="E8" s="1" t="s">
        <v>110</v>
      </c>
      <c r="F8" s="11">
        <v>25.0</v>
      </c>
      <c r="G8" s="11">
        <f t="shared" ref="G8:AI8" si="8">F8*1.05</f>
        <v>26.25</v>
      </c>
      <c r="H8" s="11">
        <f t="shared" si="8"/>
        <v>27.5625</v>
      </c>
      <c r="I8" s="11">
        <f t="shared" si="8"/>
        <v>28.940625</v>
      </c>
      <c r="J8" s="11">
        <f t="shared" si="8"/>
        <v>30.38765625</v>
      </c>
      <c r="K8" s="11">
        <f t="shared" si="8"/>
        <v>31.90703906</v>
      </c>
      <c r="L8" s="11">
        <f t="shared" si="8"/>
        <v>33.50239102</v>
      </c>
      <c r="M8" s="11">
        <f t="shared" si="8"/>
        <v>35.17751057</v>
      </c>
      <c r="N8" s="11">
        <f t="shared" si="8"/>
        <v>36.93638609</v>
      </c>
      <c r="O8" s="11">
        <f t="shared" si="8"/>
        <v>38.7832054</v>
      </c>
      <c r="P8" s="11">
        <f t="shared" si="8"/>
        <v>40.72236567</v>
      </c>
      <c r="Q8" s="11">
        <f t="shared" si="8"/>
        <v>42.75848395</v>
      </c>
      <c r="R8" s="11">
        <f t="shared" si="8"/>
        <v>44.89640815</v>
      </c>
      <c r="S8" s="11">
        <f t="shared" si="8"/>
        <v>47.14122856</v>
      </c>
      <c r="T8" s="11">
        <f t="shared" si="8"/>
        <v>49.49828999</v>
      </c>
      <c r="U8" s="11">
        <f t="shared" si="8"/>
        <v>51.97320449</v>
      </c>
      <c r="V8" s="11">
        <f t="shared" si="8"/>
        <v>54.57186471</v>
      </c>
      <c r="W8" s="11">
        <f t="shared" si="8"/>
        <v>57.30045795</v>
      </c>
      <c r="X8" s="11">
        <f t="shared" si="8"/>
        <v>60.16548084</v>
      </c>
      <c r="Y8" s="11">
        <f t="shared" si="8"/>
        <v>63.17375488</v>
      </c>
      <c r="Z8" s="11">
        <f t="shared" si="8"/>
        <v>66.33244263</v>
      </c>
      <c r="AA8" s="11">
        <f t="shared" si="8"/>
        <v>69.64906476</v>
      </c>
      <c r="AB8" s="11">
        <f t="shared" si="8"/>
        <v>73.131518</v>
      </c>
      <c r="AC8" s="11">
        <f t="shared" si="8"/>
        <v>76.7880939</v>
      </c>
      <c r="AD8" s="11">
        <f t="shared" si="8"/>
        <v>80.62749859</v>
      </c>
      <c r="AE8" s="11">
        <f t="shared" si="8"/>
        <v>84.65887352</v>
      </c>
      <c r="AF8" s="11">
        <f t="shared" si="8"/>
        <v>88.8918172</v>
      </c>
      <c r="AG8" s="11">
        <f t="shared" si="8"/>
        <v>93.33640806</v>
      </c>
      <c r="AH8" s="11">
        <f t="shared" si="8"/>
        <v>98.00322846</v>
      </c>
      <c r="AI8" s="11">
        <f t="shared" si="8"/>
        <v>102.9033899</v>
      </c>
      <c r="AJ8" s="13">
        <f t="shared" si="4"/>
        <v>1660.971188</v>
      </c>
    </row>
    <row r="9">
      <c r="A9" s="2"/>
      <c r="B9" s="2"/>
      <c r="C9" s="2"/>
      <c r="D9" s="1" t="s">
        <v>111</v>
      </c>
      <c r="E9" s="1" t="s">
        <v>2</v>
      </c>
      <c r="F9" s="11">
        <v>25.0</v>
      </c>
      <c r="G9" s="11">
        <f t="shared" ref="G9:AI9" si="9">F9*1.05</f>
        <v>26.25</v>
      </c>
      <c r="H9" s="11">
        <f t="shared" si="9"/>
        <v>27.5625</v>
      </c>
      <c r="I9" s="11">
        <f t="shared" si="9"/>
        <v>28.940625</v>
      </c>
      <c r="J9" s="11">
        <f t="shared" si="9"/>
        <v>30.38765625</v>
      </c>
      <c r="K9" s="11">
        <f t="shared" si="9"/>
        <v>31.90703906</v>
      </c>
      <c r="L9" s="11">
        <f t="shared" si="9"/>
        <v>33.50239102</v>
      </c>
      <c r="M9" s="11">
        <f t="shared" si="9"/>
        <v>35.17751057</v>
      </c>
      <c r="N9" s="11">
        <f t="shared" si="9"/>
        <v>36.93638609</v>
      </c>
      <c r="O9" s="11">
        <f t="shared" si="9"/>
        <v>38.7832054</v>
      </c>
      <c r="P9" s="11">
        <f t="shared" si="9"/>
        <v>40.72236567</v>
      </c>
      <c r="Q9" s="11">
        <f t="shared" si="9"/>
        <v>42.75848395</v>
      </c>
      <c r="R9" s="11">
        <f t="shared" si="9"/>
        <v>44.89640815</v>
      </c>
      <c r="S9" s="11">
        <f t="shared" si="9"/>
        <v>47.14122856</v>
      </c>
      <c r="T9" s="11">
        <f t="shared" si="9"/>
        <v>49.49828999</v>
      </c>
      <c r="U9" s="11">
        <f t="shared" si="9"/>
        <v>51.97320449</v>
      </c>
      <c r="V9" s="11">
        <f t="shared" si="9"/>
        <v>54.57186471</v>
      </c>
      <c r="W9" s="11">
        <f t="shared" si="9"/>
        <v>57.30045795</v>
      </c>
      <c r="X9" s="11">
        <f t="shared" si="9"/>
        <v>60.16548084</v>
      </c>
      <c r="Y9" s="11">
        <f t="shared" si="9"/>
        <v>63.17375488</v>
      </c>
      <c r="Z9" s="11">
        <f t="shared" si="9"/>
        <v>66.33244263</v>
      </c>
      <c r="AA9" s="11">
        <f t="shared" si="9"/>
        <v>69.64906476</v>
      </c>
      <c r="AB9" s="11">
        <f t="shared" si="9"/>
        <v>73.131518</v>
      </c>
      <c r="AC9" s="11">
        <f t="shared" si="9"/>
        <v>76.7880939</v>
      </c>
      <c r="AD9" s="11">
        <f t="shared" si="9"/>
        <v>80.62749859</v>
      </c>
      <c r="AE9" s="11">
        <f t="shared" si="9"/>
        <v>84.65887352</v>
      </c>
      <c r="AF9" s="11">
        <f t="shared" si="9"/>
        <v>88.8918172</v>
      </c>
      <c r="AG9" s="11">
        <f t="shared" si="9"/>
        <v>93.33640806</v>
      </c>
      <c r="AH9" s="11">
        <f t="shared" si="9"/>
        <v>98.00322846</v>
      </c>
      <c r="AI9" s="11">
        <f t="shared" si="9"/>
        <v>102.9033899</v>
      </c>
      <c r="AJ9" s="13">
        <f t="shared" si="4"/>
        <v>1660.971188</v>
      </c>
    </row>
    <row r="10">
      <c r="A10" s="2"/>
      <c r="B10" s="2"/>
      <c r="C10" s="2"/>
      <c r="D10" s="4"/>
      <c r="E10" s="1" t="s">
        <v>103</v>
      </c>
      <c r="F10" s="11">
        <v>25.0</v>
      </c>
      <c r="G10" s="11">
        <f t="shared" ref="G10:AI10" si="10">F10*1.05</f>
        <v>26.25</v>
      </c>
      <c r="H10" s="11">
        <f t="shared" si="10"/>
        <v>27.5625</v>
      </c>
      <c r="I10" s="11">
        <f t="shared" si="10"/>
        <v>28.940625</v>
      </c>
      <c r="J10" s="11">
        <f t="shared" si="10"/>
        <v>30.38765625</v>
      </c>
      <c r="K10" s="11">
        <f t="shared" si="10"/>
        <v>31.90703906</v>
      </c>
      <c r="L10" s="11">
        <f t="shared" si="10"/>
        <v>33.50239102</v>
      </c>
      <c r="M10" s="11">
        <f t="shared" si="10"/>
        <v>35.17751057</v>
      </c>
      <c r="N10" s="11">
        <f t="shared" si="10"/>
        <v>36.93638609</v>
      </c>
      <c r="O10" s="11">
        <f t="shared" si="10"/>
        <v>38.7832054</v>
      </c>
      <c r="P10" s="11">
        <f t="shared" si="10"/>
        <v>40.72236567</v>
      </c>
      <c r="Q10" s="11">
        <f t="shared" si="10"/>
        <v>42.75848395</v>
      </c>
      <c r="R10" s="11">
        <f t="shared" si="10"/>
        <v>44.89640815</v>
      </c>
      <c r="S10" s="11">
        <f t="shared" si="10"/>
        <v>47.14122856</v>
      </c>
      <c r="T10" s="11">
        <f t="shared" si="10"/>
        <v>49.49828999</v>
      </c>
      <c r="U10" s="11">
        <f t="shared" si="10"/>
        <v>51.97320449</v>
      </c>
      <c r="V10" s="11">
        <f t="shared" si="10"/>
        <v>54.57186471</v>
      </c>
      <c r="W10" s="11">
        <f t="shared" si="10"/>
        <v>57.30045795</v>
      </c>
      <c r="X10" s="11">
        <f t="shared" si="10"/>
        <v>60.16548084</v>
      </c>
      <c r="Y10" s="11">
        <f t="shared" si="10"/>
        <v>63.17375488</v>
      </c>
      <c r="Z10" s="11">
        <f t="shared" si="10"/>
        <v>66.33244263</v>
      </c>
      <c r="AA10" s="11">
        <f t="shared" si="10"/>
        <v>69.64906476</v>
      </c>
      <c r="AB10" s="11">
        <f t="shared" si="10"/>
        <v>73.131518</v>
      </c>
      <c r="AC10" s="11">
        <f t="shared" si="10"/>
        <v>76.7880939</v>
      </c>
      <c r="AD10" s="11">
        <f t="shared" si="10"/>
        <v>80.62749859</v>
      </c>
      <c r="AE10" s="11">
        <f t="shared" si="10"/>
        <v>84.65887352</v>
      </c>
      <c r="AF10" s="11">
        <f t="shared" si="10"/>
        <v>88.8918172</v>
      </c>
      <c r="AG10" s="11">
        <f t="shared" si="10"/>
        <v>93.33640806</v>
      </c>
      <c r="AH10" s="11">
        <f t="shared" si="10"/>
        <v>98.00322846</v>
      </c>
      <c r="AI10" s="11">
        <f t="shared" si="10"/>
        <v>102.9033899</v>
      </c>
      <c r="AJ10" s="13">
        <f t="shared" si="4"/>
        <v>1660.971188</v>
      </c>
    </row>
    <row r="11">
      <c r="A11" s="2"/>
      <c r="B11" s="2"/>
      <c r="C11" s="2"/>
      <c r="D11" s="4"/>
      <c r="E11" s="1" t="s">
        <v>112</v>
      </c>
      <c r="F11" s="11">
        <v>25.0</v>
      </c>
      <c r="G11" s="11">
        <f t="shared" ref="G11:AI11" si="11">F11*1.05</f>
        <v>26.25</v>
      </c>
      <c r="H11" s="11">
        <f t="shared" si="11"/>
        <v>27.5625</v>
      </c>
      <c r="I11" s="11">
        <f t="shared" si="11"/>
        <v>28.940625</v>
      </c>
      <c r="J11" s="11">
        <f t="shared" si="11"/>
        <v>30.38765625</v>
      </c>
      <c r="K11" s="11">
        <f t="shared" si="11"/>
        <v>31.90703906</v>
      </c>
      <c r="L11" s="11">
        <f t="shared" si="11"/>
        <v>33.50239102</v>
      </c>
      <c r="M11" s="11">
        <f t="shared" si="11"/>
        <v>35.17751057</v>
      </c>
      <c r="N11" s="11">
        <f t="shared" si="11"/>
        <v>36.93638609</v>
      </c>
      <c r="O11" s="11">
        <f t="shared" si="11"/>
        <v>38.7832054</v>
      </c>
      <c r="P11" s="11">
        <f t="shared" si="11"/>
        <v>40.72236567</v>
      </c>
      <c r="Q11" s="11">
        <f t="shared" si="11"/>
        <v>42.75848395</v>
      </c>
      <c r="R11" s="11">
        <f t="shared" si="11"/>
        <v>44.89640815</v>
      </c>
      <c r="S11" s="11">
        <f t="shared" si="11"/>
        <v>47.14122856</v>
      </c>
      <c r="T11" s="11">
        <f t="shared" si="11"/>
        <v>49.49828999</v>
      </c>
      <c r="U11" s="11">
        <f t="shared" si="11"/>
        <v>51.97320449</v>
      </c>
      <c r="V11" s="11">
        <f t="shared" si="11"/>
        <v>54.57186471</v>
      </c>
      <c r="W11" s="11">
        <f t="shared" si="11"/>
        <v>57.30045795</v>
      </c>
      <c r="X11" s="11">
        <f t="shared" si="11"/>
        <v>60.16548084</v>
      </c>
      <c r="Y11" s="11">
        <f t="shared" si="11"/>
        <v>63.17375488</v>
      </c>
      <c r="Z11" s="11">
        <f t="shared" si="11"/>
        <v>66.33244263</v>
      </c>
      <c r="AA11" s="11">
        <f t="shared" si="11"/>
        <v>69.64906476</v>
      </c>
      <c r="AB11" s="11">
        <f t="shared" si="11"/>
        <v>73.131518</v>
      </c>
      <c r="AC11" s="11">
        <f t="shared" si="11"/>
        <v>76.7880939</v>
      </c>
      <c r="AD11" s="11">
        <f t="shared" si="11"/>
        <v>80.62749859</v>
      </c>
      <c r="AE11" s="11">
        <f t="shared" si="11"/>
        <v>84.65887352</v>
      </c>
      <c r="AF11" s="11">
        <f t="shared" si="11"/>
        <v>88.8918172</v>
      </c>
      <c r="AG11" s="11">
        <f t="shared" si="11"/>
        <v>93.33640806</v>
      </c>
      <c r="AH11" s="11">
        <f t="shared" si="11"/>
        <v>98.00322846</v>
      </c>
      <c r="AI11" s="11">
        <f t="shared" si="11"/>
        <v>102.9033899</v>
      </c>
      <c r="AJ11" s="13">
        <f t="shared" si="4"/>
        <v>1660.971188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2"/>
      <c r="B13" s="2"/>
      <c r="C13" s="2"/>
      <c r="D13" s="2"/>
      <c r="E13" s="2" t="s">
        <v>34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 t="s">
        <v>32</v>
      </c>
    </row>
    <row r="14">
      <c r="A14" s="2"/>
      <c r="B14" s="2"/>
      <c r="C14" s="2"/>
      <c r="D14" s="1" t="s">
        <v>113</v>
      </c>
      <c r="E14" s="1" t="s">
        <v>37</v>
      </c>
      <c r="F14" s="11">
        <v>25.0</v>
      </c>
      <c r="G14" s="11">
        <f t="shared" ref="G14:AI14" si="12">F14*1.05</f>
        <v>26.25</v>
      </c>
      <c r="H14" s="11">
        <f t="shared" si="12"/>
        <v>27.5625</v>
      </c>
      <c r="I14" s="11">
        <f t="shared" si="12"/>
        <v>28.940625</v>
      </c>
      <c r="J14" s="11">
        <f t="shared" si="12"/>
        <v>30.38765625</v>
      </c>
      <c r="K14" s="11">
        <f t="shared" si="12"/>
        <v>31.90703906</v>
      </c>
      <c r="L14" s="11">
        <f t="shared" si="12"/>
        <v>33.50239102</v>
      </c>
      <c r="M14" s="11">
        <f t="shared" si="12"/>
        <v>35.17751057</v>
      </c>
      <c r="N14" s="11">
        <f t="shared" si="12"/>
        <v>36.93638609</v>
      </c>
      <c r="O14" s="11">
        <f t="shared" si="12"/>
        <v>38.7832054</v>
      </c>
      <c r="P14" s="11">
        <f t="shared" si="12"/>
        <v>40.72236567</v>
      </c>
      <c r="Q14" s="11">
        <f t="shared" si="12"/>
        <v>42.75848395</v>
      </c>
      <c r="R14" s="11">
        <f t="shared" si="12"/>
        <v>44.89640815</v>
      </c>
      <c r="S14" s="11">
        <f t="shared" si="12"/>
        <v>47.14122856</v>
      </c>
      <c r="T14" s="11">
        <f t="shared" si="12"/>
        <v>49.49828999</v>
      </c>
      <c r="U14" s="11">
        <f t="shared" si="12"/>
        <v>51.97320449</v>
      </c>
      <c r="V14" s="11">
        <f t="shared" si="12"/>
        <v>54.57186471</v>
      </c>
      <c r="W14" s="11">
        <f t="shared" si="12"/>
        <v>57.30045795</v>
      </c>
      <c r="X14" s="11">
        <f t="shared" si="12"/>
        <v>60.16548084</v>
      </c>
      <c r="Y14" s="11">
        <f t="shared" si="12"/>
        <v>63.17375488</v>
      </c>
      <c r="Z14" s="11">
        <f t="shared" si="12"/>
        <v>66.33244263</v>
      </c>
      <c r="AA14" s="11">
        <f t="shared" si="12"/>
        <v>69.64906476</v>
      </c>
      <c r="AB14" s="11">
        <f t="shared" si="12"/>
        <v>73.131518</v>
      </c>
      <c r="AC14" s="11">
        <f t="shared" si="12"/>
        <v>76.7880939</v>
      </c>
      <c r="AD14" s="11">
        <f t="shared" si="12"/>
        <v>80.62749859</v>
      </c>
      <c r="AE14" s="11">
        <f t="shared" si="12"/>
        <v>84.65887352</v>
      </c>
      <c r="AF14" s="11">
        <f t="shared" si="12"/>
        <v>88.8918172</v>
      </c>
      <c r="AG14" s="11">
        <f t="shared" si="12"/>
        <v>93.33640806</v>
      </c>
      <c r="AH14" s="11">
        <f t="shared" si="12"/>
        <v>98.00322846</v>
      </c>
      <c r="AI14" s="11">
        <f t="shared" si="12"/>
        <v>102.9033899</v>
      </c>
      <c r="AJ14" s="13">
        <f t="shared" ref="AJ14:AJ22" si="14">SUM(F14:AI14)</f>
        <v>1660.971188</v>
      </c>
    </row>
    <row r="15">
      <c r="A15" s="2"/>
      <c r="B15" s="2"/>
      <c r="C15" s="2"/>
      <c r="D15" s="4"/>
      <c r="E15" s="1" t="s">
        <v>70</v>
      </c>
      <c r="F15" s="11">
        <v>25.0</v>
      </c>
      <c r="G15" s="11">
        <f t="shared" ref="G15:AI15" si="13">F15*1.05</f>
        <v>26.25</v>
      </c>
      <c r="H15" s="11">
        <f t="shared" si="13"/>
        <v>27.5625</v>
      </c>
      <c r="I15" s="11">
        <f t="shared" si="13"/>
        <v>28.940625</v>
      </c>
      <c r="J15" s="11">
        <f t="shared" si="13"/>
        <v>30.38765625</v>
      </c>
      <c r="K15" s="11">
        <f t="shared" si="13"/>
        <v>31.90703906</v>
      </c>
      <c r="L15" s="11">
        <f t="shared" si="13"/>
        <v>33.50239102</v>
      </c>
      <c r="M15" s="11">
        <f t="shared" si="13"/>
        <v>35.17751057</v>
      </c>
      <c r="N15" s="11">
        <f t="shared" si="13"/>
        <v>36.93638609</v>
      </c>
      <c r="O15" s="11">
        <f t="shared" si="13"/>
        <v>38.7832054</v>
      </c>
      <c r="P15" s="11">
        <f t="shared" si="13"/>
        <v>40.72236567</v>
      </c>
      <c r="Q15" s="11">
        <f t="shared" si="13"/>
        <v>42.75848395</v>
      </c>
      <c r="R15" s="11">
        <f t="shared" si="13"/>
        <v>44.89640815</v>
      </c>
      <c r="S15" s="11">
        <f t="shared" si="13"/>
        <v>47.14122856</v>
      </c>
      <c r="T15" s="11">
        <f t="shared" si="13"/>
        <v>49.49828999</v>
      </c>
      <c r="U15" s="11">
        <f t="shared" si="13"/>
        <v>51.97320449</v>
      </c>
      <c r="V15" s="11">
        <f t="shared" si="13"/>
        <v>54.57186471</v>
      </c>
      <c r="W15" s="11">
        <f t="shared" si="13"/>
        <v>57.30045795</v>
      </c>
      <c r="X15" s="11">
        <f t="shared" si="13"/>
        <v>60.16548084</v>
      </c>
      <c r="Y15" s="11">
        <f t="shared" si="13"/>
        <v>63.17375488</v>
      </c>
      <c r="Z15" s="11">
        <f t="shared" si="13"/>
        <v>66.33244263</v>
      </c>
      <c r="AA15" s="11">
        <f t="shared" si="13"/>
        <v>69.64906476</v>
      </c>
      <c r="AB15" s="11">
        <f t="shared" si="13"/>
        <v>73.131518</v>
      </c>
      <c r="AC15" s="11">
        <f t="shared" si="13"/>
        <v>76.7880939</v>
      </c>
      <c r="AD15" s="11">
        <f t="shared" si="13"/>
        <v>80.62749859</v>
      </c>
      <c r="AE15" s="11">
        <f t="shared" si="13"/>
        <v>84.65887352</v>
      </c>
      <c r="AF15" s="11">
        <f t="shared" si="13"/>
        <v>88.8918172</v>
      </c>
      <c r="AG15" s="11">
        <f t="shared" si="13"/>
        <v>93.33640806</v>
      </c>
      <c r="AH15" s="11">
        <f t="shared" si="13"/>
        <v>98.00322846</v>
      </c>
      <c r="AI15" s="11">
        <f t="shared" si="13"/>
        <v>102.9033899</v>
      </c>
      <c r="AJ15" s="13">
        <f t="shared" si="14"/>
        <v>1660.971188</v>
      </c>
    </row>
    <row r="16">
      <c r="A16" s="2"/>
      <c r="B16" s="2"/>
      <c r="C16" s="2"/>
      <c r="D16" s="4"/>
      <c r="E16" s="1" t="s">
        <v>114</v>
      </c>
      <c r="F16" s="11">
        <v>25.0</v>
      </c>
      <c r="G16" s="11">
        <f t="shared" ref="G16:AI16" si="15">F16*1.05</f>
        <v>26.25</v>
      </c>
      <c r="H16" s="11">
        <f t="shared" si="15"/>
        <v>27.5625</v>
      </c>
      <c r="I16" s="11">
        <f t="shared" si="15"/>
        <v>28.940625</v>
      </c>
      <c r="J16" s="11">
        <f t="shared" si="15"/>
        <v>30.38765625</v>
      </c>
      <c r="K16" s="11">
        <f t="shared" si="15"/>
        <v>31.90703906</v>
      </c>
      <c r="L16" s="11">
        <f t="shared" si="15"/>
        <v>33.50239102</v>
      </c>
      <c r="M16" s="11">
        <f t="shared" si="15"/>
        <v>35.17751057</v>
      </c>
      <c r="N16" s="11">
        <f t="shared" si="15"/>
        <v>36.93638609</v>
      </c>
      <c r="O16" s="11">
        <f t="shared" si="15"/>
        <v>38.7832054</v>
      </c>
      <c r="P16" s="11">
        <f t="shared" si="15"/>
        <v>40.72236567</v>
      </c>
      <c r="Q16" s="11">
        <f t="shared" si="15"/>
        <v>42.75848395</v>
      </c>
      <c r="R16" s="11">
        <f t="shared" si="15"/>
        <v>44.89640815</v>
      </c>
      <c r="S16" s="11">
        <f t="shared" si="15"/>
        <v>47.14122856</v>
      </c>
      <c r="T16" s="11">
        <f t="shared" si="15"/>
        <v>49.49828999</v>
      </c>
      <c r="U16" s="11">
        <f t="shared" si="15"/>
        <v>51.97320449</v>
      </c>
      <c r="V16" s="11">
        <f t="shared" si="15"/>
        <v>54.57186471</v>
      </c>
      <c r="W16" s="11">
        <f t="shared" si="15"/>
        <v>57.30045795</v>
      </c>
      <c r="X16" s="11">
        <f t="shared" si="15"/>
        <v>60.16548084</v>
      </c>
      <c r="Y16" s="11">
        <f t="shared" si="15"/>
        <v>63.17375488</v>
      </c>
      <c r="Z16" s="11">
        <f t="shared" si="15"/>
        <v>66.33244263</v>
      </c>
      <c r="AA16" s="11">
        <f t="shared" si="15"/>
        <v>69.64906476</v>
      </c>
      <c r="AB16" s="11">
        <f t="shared" si="15"/>
        <v>73.131518</v>
      </c>
      <c r="AC16" s="11">
        <f t="shared" si="15"/>
        <v>76.7880939</v>
      </c>
      <c r="AD16" s="11">
        <f t="shared" si="15"/>
        <v>80.62749859</v>
      </c>
      <c r="AE16" s="11">
        <f t="shared" si="15"/>
        <v>84.65887352</v>
      </c>
      <c r="AF16" s="11">
        <f t="shared" si="15"/>
        <v>88.8918172</v>
      </c>
      <c r="AG16" s="11">
        <f t="shared" si="15"/>
        <v>93.33640806</v>
      </c>
      <c r="AH16" s="11">
        <f t="shared" si="15"/>
        <v>98.00322846</v>
      </c>
      <c r="AI16" s="11">
        <f t="shared" si="15"/>
        <v>102.9033899</v>
      </c>
      <c r="AJ16" s="13">
        <f t="shared" si="14"/>
        <v>1660.971188</v>
      </c>
    </row>
    <row r="17">
      <c r="A17" s="2"/>
      <c r="B17" s="2"/>
      <c r="C17" s="2"/>
      <c r="D17" s="1" t="s">
        <v>115</v>
      </c>
      <c r="E17" s="1" t="s">
        <v>2</v>
      </c>
      <c r="F17" s="11">
        <v>25.0</v>
      </c>
      <c r="G17" s="11">
        <f t="shared" ref="G17:AI17" si="16">F17*1.05</f>
        <v>26.25</v>
      </c>
      <c r="H17" s="11">
        <f t="shared" si="16"/>
        <v>27.5625</v>
      </c>
      <c r="I17" s="11">
        <f t="shared" si="16"/>
        <v>28.940625</v>
      </c>
      <c r="J17" s="11">
        <f t="shared" si="16"/>
        <v>30.38765625</v>
      </c>
      <c r="K17" s="11">
        <f t="shared" si="16"/>
        <v>31.90703906</v>
      </c>
      <c r="L17" s="11">
        <f t="shared" si="16"/>
        <v>33.50239102</v>
      </c>
      <c r="M17" s="11">
        <f t="shared" si="16"/>
        <v>35.17751057</v>
      </c>
      <c r="N17" s="11">
        <f t="shared" si="16"/>
        <v>36.93638609</v>
      </c>
      <c r="O17" s="11">
        <f t="shared" si="16"/>
        <v>38.7832054</v>
      </c>
      <c r="P17" s="11">
        <f t="shared" si="16"/>
        <v>40.72236567</v>
      </c>
      <c r="Q17" s="11">
        <f t="shared" si="16"/>
        <v>42.75848395</v>
      </c>
      <c r="R17" s="11">
        <f t="shared" si="16"/>
        <v>44.89640815</v>
      </c>
      <c r="S17" s="11">
        <f t="shared" si="16"/>
        <v>47.14122856</v>
      </c>
      <c r="T17" s="11">
        <f t="shared" si="16"/>
        <v>49.49828999</v>
      </c>
      <c r="U17" s="11">
        <f t="shared" si="16"/>
        <v>51.97320449</v>
      </c>
      <c r="V17" s="11">
        <f t="shared" si="16"/>
        <v>54.57186471</v>
      </c>
      <c r="W17" s="11">
        <f t="shared" si="16"/>
        <v>57.30045795</v>
      </c>
      <c r="X17" s="11">
        <f t="shared" si="16"/>
        <v>60.16548084</v>
      </c>
      <c r="Y17" s="11">
        <f t="shared" si="16"/>
        <v>63.17375488</v>
      </c>
      <c r="Z17" s="11">
        <f t="shared" si="16"/>
        <v>66.33244263</v>
      </c>
      <c r="AA17" s="11">
        <f t="shared" si="16"/>
        <v>69.64906476</v>
      </c>
      <c r="AB17" s="11">
        <f t="shared" si="16"/>
        <v>73.131518</v>
      </c>
      <c r="AC17" s="11">
        <f t="shared" si="16"/>
        <v>76.7880939</v>
      </c>
      <c r="AD17" s="11">
        <f t="shared" si="16"/>
        <v>80.62749859</v>
      </c>
      <c r="AE17" s="11">
        <f t="shared" si="16"/>
        <v>84.65887352</v>
      </c>
      <c r="AF17" s="11">
        <f t="shared" si="16"/>
        <v>88.8918172</v>
      </c>
      <c r="AG17" s="11">
        <f t="shared" si="16"/>
        <v>93.33640806</v>
      </c>
      <c r="AH17" s="11">
        <f t="shared" si="16"/>
        <v>98.00322846</v>
      </c>
      <c r="AI17" s="11">
        <f t="shared" si="16"/>
        <v>102.9033899</v>
      </c>
      <c r="AJ17" s="13">
        <f t="shared" si="14"/>
        <v>1660.971188</v>
      </c>
    </row>
    <row r="18">
      <c r="A18" s="2"/>
      <c r="B18" s="2"/>
      <c r="C18" s="2"/>
      <c r="D18" s="4"/>
      <c r="E18" s="1" t="s">
        <v>103</v>
      </c>
      <c r="F18" s="11">
        <v>25.0</v>
      </c>
      <c r="G18" s="11">
        <f t="shared" ref="G18:AI18" si="17">F18*1.05</f>
        <v>26.25</v>
      </c>
      <c r="H18" s="11">
        <f t="shared" si="17"/>
        <v>27.5625</v>
      </c>
      <c r="I18" s="11">
        <f t="shared" si="17"/>
        <v>28.940625</v>
      </c>
      <c r="J18" s="11">
        <f t="shared" si="17"/>
        <v>30.38765625</v>
      </c>
      <c r="K18" s="11">
        <f t="shared" si="17"/>
        <v>31.90703906</v>
      </c>
      <c r="L18" s="11">
        <f t="shared" si="17"/>
        <v>33.50239102</v>
      </c>
      <c r="M18" s="11">
        <f t="shared" si="17"/>
        <v>35.17751057</v>
      </c>
      <c r="N18" s="11">
        <f t="shared" si="17"/>
        <v>36.93638609</v>
      </c>
      <c r="O18" s="11">
        <f t="shared" si="17"/>
        <v>38.7832054</v>
      </c>
      <c r="P18" s="11">
        <f t="shared" si="17"/>
        <v>40.72236567</v>
      </c>
      <c r="Q18" s="11">
        <f t="shared" si="17"/>
        <v>42.75848395</v>
      </c>
      <c r="R18" s="11">
        <f t="shared" si="17"/>
        <v>44.89640815</v>
      </c>
      <c r="S18" s="11">
        <f t="shared" si="17"/>
        <v>47.14122856</v>
      </c>
      <c r="T18" s="11">
        <f t="shared" si="17"/>
        <v>49.49828999</v>
      </c>
      <c r="U18" s="11">
        <f t="shared" si="17"/>
        <v>51.97320449</v>
      </c>
      <c r="V18" s="11">
        <f t="shared" si="17"/>
        <v>54.57186471</v>
      </c>
      <c r="W18" s="11">
        <f t="shared" si="17"/>
        <v>57.30045795</v>
      </c>
      <c r="X18" s="11">
        <f t="shared" si="17"/>
        <v>60.16548084</v>
      </c>
      <c r="Y18" s="11">
        <f t="shared" si="17"/>
        <v>63.17375488</v>
      </c>
      <c r="Z18" s="11">
        <f t="shared" si="17"/>
        <v>66.33244263</v>
      </c>
      <c r="AA18" s="11">
        <f t="shared" si="17"/>
        <v>69.64906476</v>
      </c>
      <c r="AB18" s="11">
        <f t="shared" si="17"/>
        <v>73.131518</v>
      </c>
      <c r="AC18" s="11">
        <f t="shared" si="17"/>
        <v>76.7880939</v>
      </c>
      <c r="AD18" s="11">
        <f t="shared" si="17"/>
        <v>80.62749859</v>
      </c>
      <c r="AE18" s="11">
        <f t="shared" si="17"/>
        <v>84.65887352</v>
      </c>
      <c r="AF18" s="11">
        <f t="shared" si="17"/>
        <v>88.8918172</v>
      </c>
      <c r="AG18" s="11">
        <f t="shared" si="17"/>
        <v>93.33640806</v>
      </c>
      <c r="AH18" s="11">
        <f t="shared" si="17"/>
        <v>98.00322846</v>
      </c>
      <c r="AI18" s="11">
        <f t="shared" si="17"/>
        <v>102.9033899</v>
      </c>
      <c r="AJ18" s="13">
        <f t="shared" si="14"/>
        <v>1660.971188</v>
      </c>
    </row>
    <row r="19">
      <c r="A19" s="2"/>
      <c r="B19" s="2"/>
      <c r="C19" s="2"/>
      <c r="D19" s="4"/>
      <c r="E19" s="1" t="s">
        <v>116</v>
      </c>
      <c r="F19" s="11">
        <v>25.0</v>
      </c>
      <c r="G19" s="11">
        <f t="shared" ref="G19:AI19" si="18">F19*1.05</f>
        <v>26.25</v>
      </c>
      <c r="H19" s="11">
        <f t="shared" si="18"/>
        <v>27.5625</v>
      </c>
      <c r="I19" s="11">
        <f t="shared" si="18"/>
        <v>28.940625</v>
      </c>
      <c r="J19" s="11">
        <f t="shared" si="18"/>
        <v>30.38765625</v>
      </c>
      <c r="K19" s="11">
        <f t="shared" si="18"/>
        <v>31.90703906</v>
      </c>
      <c r="L19" s="11">
        <f t="shared" si="18"/>
        <v>33.50239102</v>
      </c>
      <c r="M19" s="11">
        <f t="shared" si="18"/>
        <v>35.17751057</v>
      </c>
      <c r="N19" s="11">
        <f t="shared" si="18"/>
        <v>36.93638609</v>
      </c>
      <c r="O19" s="11">
        <f t="shared" si="18"/>
        <v>38.7832054</v>
      </c>
      <c r="P19" s="11">
        <f t="shared" si="18"/>
        <v>40.72236567</v>
      </c>
      <c r="Q19" s="11">
        <f t="shared" si="18"/>
        <v>42.75848395</v>
      </c>
      <c r="R19" s="11">
        <f t="shared" si="18"/>
        <v>44.89640815</v>
      </c>
      <c r="S19" s="11">
        <f t="shared" si="18"/>
        <v>47.14122856</v>
      </c>
      <c r="T19" s="11">
        <f t="shared" si="18"/>
        <v>49.49828999</v>
      </c>
      <c r="U19" s="11">
        <f t="shared" si="18"/>
        <v>51.97320449</v>
      </c>
      <c r="V19" s="11">
        <f t="shared" si="18"/>
        <v>54.57186471</v>
      </c>
      <c r="W19" s="11">
        <f t="shared" si="18"/>
        <v>57.30045795</v>
      </c>
      <c r="X19" s="11">
        <f t="shared" si="18"/>
        <v>60.16548084</v>
      </c>
      <c r="Y19" s="11">
        <f t="shared" si="18"/>
        <v>63.17375488</v>
      </c>
      <c r="Z19" s="11">
        <f t="shared" si="18"/>
        <v>66.33244263</v>
      </c>
      <c r="AA19" s="11">
        <f t="shared" si="18"/>
        <v>69.64906476</v>
      </c>
      <c r="AB19" s="11">
        <f t="shared" si="18"/>
        <v>73.131518</v>
      </c>
      <c r="AC19" s="11">
        <f t="shared" si="18"/>
        <v>76.7880939</v>
      </c>
      <c r="AD19" s="11">
        <f t="shared" si="18"/>
        <v>80.62749859</v>
      </c>
      <c r="AE19" s="11">
        <f t="shared" si="18"/>
        <v>84.65887352</v>
      </c>
      <c r="AF19" s="11">
        <f t="shared" si="18"/>
        <v>88.8918172</v>
      </c>
      <c r="AG19" s="11">
        <f t="shared" si="18"/>
        <v>93.33640806</v>
      </c>
      <c r="AH19" s="11">
        <f t="shared" si="18"/>
        <v>98.00322846</v>
      </c>
      <c r="AI19" s="11">
        <f t="shared" si="18"/>
        <v>102.9033899</v>
      </c>
      <c r="AJ19" s="13">
        <f t="shared" si="14"/>
        <v>1660.971188</v>
      </c>
    </row>
    <row r="20">
      <c r="A20" s="2"/>
      <c r="B20" s="2"/>
      <c r="C20" s="2"/>
      <c r="D20" s="1" t="s">
        <v>117</v>
      </c>
      <c r="E20" s="1" t="s">
        <v>2</v>
      </c>
      <c r="F20" s="11">
        <v>25.0</v>
      </c>
      <c r="G20" s="11">
        <f t="shared" ref="G20:AI20" si="19">F20*1.05</f>
        <v>26.25</v>
      </c>
      <c r="H20" s="11">
        <f t="shared" si="19"/>
        <v>27.5625</v>
      </c>
      <c r="I20" s="11">
        <f t="shared" si="19"/>
        <v>28.940625</v>
      </c>
      <c r="J20" s="11">
        <f t="shared" si="19"/>
        <v>30.38765625</v>
      </c>
      <c r="K20" s="11">
        <f t="shared" si="19"/>
        <v>31.90703906</v>
      </c>
      <c r="L20" s="11">
        <f t="shared" si="19"/>
        <v>33.50239102</v>
      </c>
      <c r="M20" s="11">
        <f t="shared" si="19"/>
        <v>35.17751057</v>
      </c>
      <c r="N20" s="11">
        <f t="shared" si="19"/>
        <v>36.93638609</v>
      </c>
      <c r="O20" s="11">
        <f t="shared" si="19"/>
        <v>38.7832054</v>
      </c>
      <c r="P20" s="11">
        <f t="shared" si="19"/>
        <v>40.72236567</v>
      </c>
      <c r="Q20" s="11">
        <f t="shared" si="19"/>
        <v>42.75848395</v>
      </c>
      <c r="R20" s="11">
        <f t="shared" si="19"/>
        <v>44.89640815</v>
      </c>
      <c r="S20" s="11">
        <f t="shared" si="19"/>
        <v>47.14122856</v>
      </c>
      <c r="T20" s="11">
        <f t="shared" si="19"/>
        <v>49.49828999</v>
      </c>
      <c r="U20" s="11">
        <f t="shared" si="19"/>
        <v>51.97320449</v>
      </c>
      <c r="V20" s="11">
        <f t="shared" si="19"/>
        <v>54.57186471</v>
      </c>
      <c r="W20" s="11">
        <f t="shared" si="19"/>
        <v>57.30045795</v>
      </c>
      <c r="X20" s="11">
        <f t="shared" si="19"/>
        <v>60.16548084</v>
      </c>
      <c r="Y20" s="11">
        <f t="shared" si="19"/>
        <v>63.17375488</v>
      </c>
      <c r="Z20" s="11">
        <f t="shared" si="19"/>
        <v>66.33244263</v>
      </c>
      <c r="AA20" s="11">
        <f t="shared" si="19"/>
        <v>69.64906476</v>
      </c>
      <c r="AB20" s="11">
        <f t="shared" si="19"/>
        <v>73.131518</v>
      </c>
      <c r="AC20" s="11">
        <f t="shared" si="19"/>
        <v>76.7880939</v>
      </c>
      <c r="AD20" s="11">
        <f t="shared" si="19"/>
        <v>80.62749859</v>
      </c>
      <c r="AE20" s="11">
        <f t="shared" si="19"/>
        <v>84.65887352</v>
      </c>
      <c r="AF20" s="11">
        <f t="shared" si="19"/>
        <v>88.8918172</v>
      </c>
      <c r="AG20" s="11">
        <f t="shared" si="19"/>
        <v>93.33640806</v>
      </c>
      <c r="AH20" s="11">
        <f t="shared" si="19"/>
        <v>98.00322846</v>
      </c>
      <c r="AI20" s="11">
        <f t="shared" si="19"/>
        <v>102.9033899</v>
      </c>
      <c r="AJ20" s="13">
        <f t="shared" si="14"/>
        <v>1660.971188</v>
      </c>
    </row>
    <row r="21">
      <c r="A21" s="2"/>
      <c r="B21" s="2"/>
      <c r="C21" s="2"/>
      <c r="D21" s="4"/>
      <c r="E21" s="1" t="s">
        <v>103</v>
      </c>
      <c r="F21" s="11">
        <v>25.0</v>
      </c>
      <c r="G21" s="11">
        <f t="shared" ref="G21:AI21" si="20">F21*1.05</f>
        <v>26.25</v>
      </c>
      <c r="H21" s="11">
        <f t="shared" si="20"/>
        <v>27.5625</v>
      </c>
      <c r="I21" s="11">
        <f t="shared" si="20"/>
        <v>28.940625</v>
      </c>
      <c r="J21" s="11">
        <f t="shared" si="20"/>
        <v>30.38765625</v>
      </c>
      <c r="K21" s="11">
        <f t="shared" si="20"/>
        <v>31.90703906</v>
      </c>
      <c r="L21" s="11">
        <f t="shared" si="20"/>
        <v>33.50239102</v>
      </c>
      <c r="M21" s="11">
        <f t="shared" si="20"/>
        <v>35.17751057</v>
      </c>
      <c r="N21" s="11">
        <f t="shared" si="20"/>
        <v>36.93638609</v>
      </c>
      <c r="O21" s="11">
        <f t="shared" si="20"/>
        <v>38.7832054</v>
      </c>
      <c r="P21" s="11">
        <f t="shared" si="20"/>
        <v>40.72236567</v>
      </c>
      <c r="Q21" s="11">
        <f t="shared" si="20"/>
        <v>42.75848395</v>
      </c>
      <c r="R21" s="11">
        <f t="shared" si="20"/>
        <v>44.89640815</v>
      </c>
      <c r="S21" s="11">
        <f t="shared" si="20"/>
        <v>47.14122856</v>
      </c>
      <c r="T21" s="11">
        <f t="shared" si="20"/>
        <v>49.49828999</v>
      </c>
      <c r="U21" s="11">
        <f t="shared" si="20"/>
        <v>51.97320449</v>
      </c>
      <c r="V21" s="11">
        <f t="shared" si="20"/>
        <v>54.57186471</v>
      </c>
      <c r="W21" s="11">
        <f t="shared" si="20"/>
        <v>57.30045795</v>
      </c>
      <c r="X21" s="11">
        <f t="shared" si="20"/>
        <v>60.16548084</v>
      </c>
      <c r="Y21" s="11">
        <f t="shared" si="20"/>
        <v>63.17375488</v>
      </c>
      <c r="Z21" s="11">
        <f t="shared" si="20"/>
        <v>66.33244263</v>
      </c>
      <c r="AA21" s="11">
        <f t="shared" si="20"/>
        <v>69.64906476</v>
      </c>
      <c r="AB21" s="11">
        <f t="shared" si="20"/>
        <v>73.131518</v>
      </c>
      <c r="AC21" s="11">
        <f t="shared" si="20"/>
        <v>76.7880939</v>
      </c>
      <c r="AD21" s="11">
        <f t="shared" si="20"/>
        <v>80.62749859</v>
      </c>
      <c r="AE21" s="11">
        <f t="shared" si="20"/>
        <v>84.65887352</v>
      </c>
      <c r="AF21" s="11">
        <f t="shared" si="20"/>
        <v>88.8918172</v>
      </c>
      <c r="AG21" s="11">
        <f t="shared" si="20"/>
        <v>93.33640806</v>
      </c>
      <c r="AH21" s="11">
        <f t="shared" si="20"/>
        <v>98.00322846</v>
      </c>
      <c r="AI21" s="11">
        <f t="shared" si="20"/>
        <v>102.9033899</v>
      </c>
      <c r="AJ21" s="13">
        <f t="shared" si="14"/>
        <v>1660.971188</v>
      </c>
    </row>
    <row r="22">
      <c r="A22" s="2"/>
      <c r="B22" s="2"/>
      <c r="C22" s="2"/>
      <c r="D22" s="4"/>
      <c r="E22" s="1" t="s">
        <v>118</v>
      </c>
      <c r="F22" s="11">
        <v>25.0</v>
      </c>
      <c r="G22" s="11">
        <f t="shared" ref="G22:AI22" si="21">F22*1.05</f>
        <v>26.25</v>
      </c>
      <c r="H22" s="11">
        <f t="shared" si="21"/>
        <v>27.5625</v>
      </c>
      <c r="I22" s="11">
        <f t="shared" si="21"/>
        <v>28.940625</v>
      </c>
      <c r="J22" s="11">
        <f t="shared" si="21"/>
        <v>30.38765625</v>
      </c>
      <c r="K22" s="11">
        <f t="shared" si="21"/>
        <v>31.90703906</v>
      </c>
      <c r="L22" s="11">
        <f t="shared" si="21"/>
        <v>33.50239102</v>
      </c>
      <c r="M22" s="11">
        <f t="shared" si="21"/>
        <v>35.17751057</v>
      </c>
      <c r="N22" s="11">
        <f t="shared" si="21"/>
        <v>36.93638609</v>
      </c>
      <c r="O22" s="11">
        <f t="shared" si="21"/>
        <v>38.7832054</v>
      </c>
      <c r="P22" s="11">
        <f t="shared" si="21"/>
        <v>40.72236567</v>
      </c>
      <c r="Q22" s="11">
        <f t="shared" si="21"/>
        <v>42.75848395</v>
      </c>
      <c r="R22" s="11">
        <f t="shared" si="21"/>
        <v>44.89640815</v>
      </c>
      <c r="S22" s="11">
        <f t="shared" si="21"/>
        <v>47.14122856</v>
      </c>
      <c r="T22" s="11">
        <f t="shared" si="21"/>
        <v>49.49828999</v>
      </c>
      <c r="U22" s="11">
        <f t="shared" si="21"/>
        <v>51.97320449</v>
      </c>
      <c r="V22" s="11">
        <f t="shared" si="21"/>
        <v>54.57186471</v>
      </c>
      <c r="W22" s="11">
        <f t="shared" si="21"/>
        <v>57.30045795</v>
      </c>
      <c r="X22" s="11">
        <f t="shared" si="21"/>
        <v>60.16548084</v>
      </c>
      <c r="Y22" s="11">
        <f t="shared" si="21"/>
        <v>63.17375488</v>
      </c>
      <c r="Z22" s="11">
        <f t="shared" si="21"/>
        <v>66.33244263</v>
      </c>
      <c r="AA22" s="11">
        <f t="shared" si="21"/>
        <v>69.64906476</v>
      </c>
      <c r="AB22" s="11">
        <f t="shared" si="21"/>
        <v>73.131518</v>
      </c>
      <c r="AC22" s="11">
        <f t="shared" si="21"/>
        <v>76.7880939</v>
      </c>
      <c r="AD22" s="11">
        <f t="shared" si="21"/>
        <v>80.62749859</v>
      </c>
      <c r="AE22" s="11">
        <f t="shared" si="21"/>
        <v>84.65887352</v>
      </c>
      <c r="AF22" s="11">
        <f t="shared" si="21"/>
        <v>88.8918172</v>
      </c>
      <c r="AG22" s="11">
        <f t="shared" si="21"/>
        <v>93.33640806</v>
      </c>
      <c r="AH22" s="11">
        <f t="shared" si="21"/>
        <v>98.00322846</v>
      </c>
      <c r="AI22" s="11">
        <f t="shared" si="21"/>
        <v>102.9033899</v>
      </c>
      <c r="AJ22" s="13">
        <f t="shared" si="14"/>
        <v>1660.971188</v>
      </c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2"/>
      <c r="B24" s="2"/>
      <c r="C24" s="2"/>
      <c r="D24" s="2"/>
      <c r="E24" s="2" t="s">
        <v>68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 t="s">
        <v>32</v>
      </c>
    </row>
    <row r="25">
      <c r="A25" s="2"/>
      <c r="B25" s="2"/>
      <c r="C25" s="2"/>
      <c r="D25" s="1" t="s">
        <v>119</v>
      </c>
      <c r="E25" s="1" t="s">
        <v>37</v>
      </c>
      <c r="F25" s="11">
        <v>25.0</v>
      </c>
      <c r="G25" s="11">
        <f t="shared" ref="G25:AI25" si="22">F25*1.05</f>
        <v>26.25</v>
      </c>
      <c r="H25" s="11">
        <f t="shared" si="22"/>
        <v>27.5625</v>
      </c>
      <c r="I25" s="11">
        <f t="shared" si="22"/>
        <v>28.940625</v>
      </c>
      <c r="J25" s="11">
        <f t="shared" si="22"/>
        <v>30.38765625</v>
      </c>
      <c r="K25" s="11">
        <f t="shared" si="22"/>
        <v>31.90703906</v>
      </c>
      <c r="L25" s="11">
        <f t="shared" si="22"/>
        <v>33.50239102</v>
      </c>
      <c r="M25" s="11">
        <f t="shared" si="22"/>
        <v>35.17751057</v>
      </c>
      <c r="N25" s="11">
        <f t="shared" si="22"/>
        <v>36.93638609</v>
      </c>
      <c r="O25" s="11">
        <f t="shared" si="22"/>
        <v>38.7832054</v>
      </c>
      <c r="P25" s="11">
        <f t="shared" si="22"/>
        <v>40.72236567</v>
      </c>
      <c r="Q25" s="11">
        <f t="shared" si="22"/>
        <v>42.75848395</v>
      </c>
      <c r="R25" s="11">
        <f t="shared" si="22"/>
        <v>44.89640815</v>
      </c>
      <c r="S25" s="11">
        <f t="shared" si="22"/>
        <v>47.14122856</v>
      </c>
      <c r="T25" s="11">
        <f t="shared" si="22"/>
        <v>49.49828999</v>
      </c>
      <c r="U25" s="11">
        <f t="shared" si="22"/>
        <v>51.97320449</v>
      </c>
      <c r="V25" s="11">
        <f t="shared" si="22"/>
        <v>54.57186471</v>
      </c>
      <c r="W25" s="11">
        <f t="shared" si="22"/>
        <v>57.30045795</v>
      </c>
      <c r="X25" s="11">
        <f t="shared" si="22"/>
        <v>60.16548084</v>
      </c>
      <c r="Y25" s="11">
        <f t="shared" si="22"/>
        <v>63.17375488</v>
      </c>
      <c r="Z25" s="11">
        <f t="shared" si="22"/>
        <v>66.33244263</v>
      </c>
      <c r="AA25" s="11">
        <f t="shared" si="22"/>
        <v>69.64906476</v>
      </c>
      <c r="AB25" s="11">
        <f t="shared" si="22"/>
        <v>73.131518</v>
      </c>
      <c r="AC25" s="11">
        <f t="shared" si="22"/>
        <v>76.7880939</v>
      </c>
      <c r="AD25" s="11">
        <f t="shared" si="22"/>
        <v>80.62749859</v>
      </c>
      <c r="AE25" s="11">
        <f t="shared" si="22"/>
        <v>84.65887352</v>
      </c>
      <c r="AF25" s="11">
        <f t="shared" si="22"/>
        <v>88.8918172</v>
      </c>
      <c r="AG25" s="11">
        <f t="shared" si="22"/>
        <v>93.33640806</v>
      </c>
      <c r="AH25" s="11">
        <f t="shared" si="22"/>
        <v>98.00322846</v>
      </c>
      <c r="AI25" s="11">
        <f t="shared" si="22"/>
        <v>102.9033899</v>
      </c>
      <c r="AJ25" s="13">
        <f t="shared" ref="AJ25:AJ33" si="24">SUM(F25:AI25)</f>
        <v>1660.971188</v>
      </c>
    </row>
    <row r="26">
      <c r="A26" s="2"/>
      <c r="B26" s="2"/>
      <c r="C26" s="2"/>
      <c r="D26" s="4"/>
      <c r="E26" s="1" t="s">
        <v>70</v>
      </c>
      <c r="F26" s="11">
        <v>25.0</v>
      </c>
      <c r="G26" s="11">
        <f t="shared" ref="G26:AI26" si="23">F26*1.05</f>
        <v>26.25</v>
      </c>
      <c r="H26" s="11">
        <f t="shared" si="23"/>
        <v>27.5625</v>
      </c>
      <c r="I26" s="11">
        <f t="shared" si="23"/>
        <v>28.940625</v>
      </c>
      <c r="J26" s="11">
        <f t="shared" si="23"/>
        <v>30.38765625</v>
      </c>
      <c r="K26" s="11">
        <f t="shared" si="23"/>
        <v>31.90703906</v>
      </c>
      <c r="L26" s="11">
        <f t="shared" si="23"/>
        <v>33.50239102</v>
      </c>
      <c r="M26" s="11">
        <f t="shared" si="23"/>
        <v>35.17751057</v>
      </c>
      <c r="N26" s="11">
        <f t="shared" si="23"/>
        <v>36.93638609</v>
      </c>
      <c r="O26" s="11">
        <f t="shared" si="23"/>
        <v>38.7832054</v>
      </c>
      <c r="P26" s="11">
        <f t="shared" si="23"/>
        <v>40.72236567</v>
      </c>
      <c r="Q26" s="11">
        <f t="shared" si="23"/>
        <v>42.75848395</v>
      </c>
      <c r="R26" s="11">
        <f t="shared" si="23"/>
        <v>44.89640815</v>
      </c>
      <c r="S26" s="11">
        <f t="shared" si="23"/>
        <v>47.14122856</v>
      </c>
      <c r="T26" s="11">
        <f t="shared" si="23"/>
        <v>49.49828999</v>
      </c>
      <c r="U26" s="11">
        <f t="shared" si="23"/>
        <v>51.97320449</v>
      </c>
      <c r="V26" s="11">
        <f t="shared" si="23"/>
        <v>54.57186471</v>
      </c>
      <c r="W26" s="11">
        <f t="shared" si="23"/>
        <v>57.30045795</v>
      </c>
      <c r="X26" s="11">
        <f t="shared" si="23"/>
        <v>60.16548084</v>
      </c>
      <c r="Y26" s="11">
        <f t="shared" si="23"/>
        <v>63.17375488</v>
      </c>
      <c r="Z26" s="11">
        <f t="shared" si="23"/>
        <v>66.33244263</v>
      </c>
      <c r="AA26" s="11">
        <f t="shared" si="23"/>
        <v>69.64906476</v>
      </c>
      <c r="AB26" s="11">
        <f t="shared" si="23"/>
        <v>73.131518</v>
      </c>
      <c r="AC26" s="11">
        <f t="shared" si="23"/>
        <v>76.7880939</v>
      </c>
      <c r="AD26" s="11">
        <f t="shared" si="23"/>
        <v>80.62749859</v>
      </c>
      <c r="AE26" s="11">
        <f t="shared" si="23"/>
        <v>84.65887352</v>
      </c>
      <c r="AF26" s="11">
        <f t="shared" si="23"/>
        <v>88.8918172</v>
      </c>
      <c r="AG26" s="11">
        <f t="shared" si="23"/>
        <v>93.33640806</v>
      </c>
      <c r="AH26" s="11">
        <f t="shared" si="23"/>
        <v>98.00322846</v>
      </c>
      <c r="AI26" s="11">
        <f t="shared" si="23"/>
        <v>102.9033899</v>
      </c>
      <c r="AJ26" s="13">
        <f t="shared" si="24"/>
        <v>1660.971188</v>
      </c>
    </row>
    <row r="27">
      <c r="A27" s="2"/>
      <c r="B27" s="2"/>
      <c r="C27" s="2"/>
      <c r="D27" s="4"/>
      <c r="E27" s="1" t="s">
        <v>120</v>
      </c>
      <c r="F27" s="11">
        <v>25.0</v>
      </c>
      <c r="G27" s="11">
        <f t="shared" ref="G27:AI27" si="25">F27*1.05</f>
        <v>26.25</v>
      </c>
      <c r="H27" s="11">
        <f t="shared" si="25"/>
        <v>27.5625</v>
      </c>
      <c r="I27" s="11">
        <f t="shared" si="25"/>
        <v>28.940625</v>
      </c>
      <c r="J27" s="11">
        <f t="shared" si="25"/>
        <v>30.38765625</v>
      </c>
      <c r="K27" s="11">
        <f t="shared" si="25"/>
        <v>31.90703906</v>
      </c>
      <c r="L27" s="11">
        <f t="shared" si="25"/>
        <v>33.50239102</v>
      </c>
      <c r="M27" s="11">
        <f t="shared" si="25"/>
        <v>35.17751057</v>
      </c>
      <c r="N27" s="11">
        <f t="shared" si="25"/>
        <v>36.93638609</v>
      </c>
      <c r="O27" s="11">
        <f t="shared" si="25"/>
        <v>38.7832054</v>
      </c>
      <c r="P27" s="11">
        <f t="shared" si="25"/>
        <v>40.72236567</v>
      </c>
      <c r="Q27" s="11">
        <f t="shared" si="25"/>
        <v>42.75848395</v>
      </c>
      <c r="R27" s="11">
        <f t="shared" si="25"/>
        <v>44.89640815</v>
      </c>
      <c r="S27" s="11">
        <f t="shared" si="25"/>
        <v>47.14122856</v>
      </c>
      <c r="T27" s="11">
        <f t="shared" si="25"/>
        <v>49.49828999</v>
      </c>
      <c r="U27" s="11">
        <f t="shared" si="25"/>
        <v>51.97320449</v>
      </c>
      <c r="V27" s="11">
        <f t="shared" si="25"/>
        <v>54.57186471</v>
      </c>
      <c r="W27" s="11">
        <f t="shared" si="25"/>
        <v>57.30045795</v>
      </c>
      <c r="X27" s="11">
        <f t="shared" si="25"/>
        <v>60.16548084</v>
      </c>
      <c r="Y27" s="11">
        <f t="shared" si="25"/>
        <v>63.17375488</v>
      </c>
      <c r="Z27" s="11">
        <f t="shared" si="25"/>
        <v>66.33244263</v>
      </c>
      <c r="AA27" s="11">
        <f t="shared" si="25"/>
        <v>69.64906476</v>
      </c>
      <c r="AB27" s="11">
        <f t="shared" si="25"/>
        <v>73.131518</v>
      </c>
      <c r="AC27" s="11">
        <f t="shared" si="25"/>
        <v>76.7880939</v>
      </c>
      <c r="AD27" s="11">
        <f t="shared" si="25"/>
        <v>80.62749859</v>
      </c>
      <c r="AE27" s="11">
        <f t="shared" si="25"/>
        <v>84.65887352</v>
      </c>
      <c r="AF27" s="11">
        <f t="shared" si="25"/>
        <v>88.8918172</v>
      </c>
      <c r="AG27" s="11">
        <f t="shared" si="25"/>
        <v>93.33640806</v>
      </c>
      <c r="AH27" s="11">
        <f t="shared" si="25"/>
        <v>98.00322846</v>
      </c>
      <c r="AI27" s="11">
        <f t="shared" si="25"/>
        <v>102.9033899</v>
      </c>
      <c r="AJ27" s="13">
        <f t="shared" si="24"/>
        <v>1660.971188</v>
      </c>
    </row>
    <row r="28">
      <c r="A28" s="2"/>
      <c r="B28" s="2"/>
      <c r="C28" s="2"/>
      <c r="D28" s="1" t="s">
        <v>121</v>
      </c>
      <c r="E28" s="1" t="s">
        <v>2</v>
      </c>
      <c r="F28" s="11">
        <v>25.0</v>
      </c>
      <c r="G28" s="11">
        <f t="shared" ref="G28:AI28" si="26">F28*1.05</f>
        <v>26.25</v>
      </c>
      <c r="H28" s="11">
        <f t="shared" si="26"/>
        <v>27.5625</v>
      </c>
      <c r="I28" s="11">
        <f t="shared" si="26"/>
        <v>28.940625</v>
      </c>
      <c r="J28" s="11">
        <f t="shared" si="26"/>
        <v>30.38765625</v>
      </c>
      <c r="K28" s="11">
        <f t="shared" si="26"/>
        <v>31.90703906</v>
      </c>
      <c r="L28" s="11">
        <f t="shared" si="26"/>
        <v>33.50239102</v>
      </c>
      <c r="M28" s="11">
        <f t="shared" si="26"/>
        <v>35.17751057</v>
      </c>
      <c r="N28" s="11">
        <f t="shared" si="26"/>
        <v>36.93638609</v>
      </c>
      <c r="O28" s="11">
        <f t="shared" si="26"/>
        <v>38.7832054</v>
      </c>
      <c r="P28" s="11">
        <f t="shared" si="26"/>
        <v>40.72236567</v>
      </c>
      <c r="Q28" s="11">
        <f t="shared" si="26"/>
        <v>42.75848395</v>
      </c>
      <c r="R28" s="11">
        <f t="shared" si="26"/>
        <v>44.89640815</v>
      </c>
      <c r="S28" s="11">
        <f t="shared" si="26"/>
        <v>47.14122856</v>
      </c>
      <c r="T28" s="11">
        <f t="shared" si="26"/>
        <v>49.49828999</v>
      </c>
      <c r="U28" s="11">
        <f t="shared" si="26"/>
        <v>51.97320449</v>
      </c>
      <c r="V28" s="11">
        <f t="shared" si="26"/>
        <v>54.57186471</v>
      </c>
      <c r="W28" s="11">
        <f t="shared" si="26"/>
        <v>57.30045795</v>
      </c>
      <c r="X28" s="11">
        <f t="shared" si="26"/>
        <v>60.16548084</v>
      </c>
      <c r="Y28" s="11">
        <f t="shared" si="26"/>
        <v>63.17375488</v>
      </c>
      <c r="Z28" s="11">
        <f t="shared" si="26"/>
        <v>66.33244263</v>
      </c>
      <c r="AA28" s="11">
        <f t="shared" si="26"/>
        <v>69.64906476</v>
      </c>
      <c r="AB28" s="11">
        <f t="shared" si="26"/>
        <v>73.131518</v>
      </c>
      <c r="AC28" s="11">
        <f t="shared" si="26"/>
        <v>76.7880939</v>
      </c>
      <c r="AD28" s="11">
        <f t="shared" si="26"/>
        <v>80.62749859</v>
      </c>
      <c r="AE28" s="11">
        <f t="shared" si="26"/>
        <v>84.65887352</v>
      </c>
      <c r="AF28" s="11">
        <f t="shared" si="26"/>
        <v>88.8918172</v>
      </c>
      <c r="AG28" s="11">
        <f t="shared" si="26"/>
        <v>93.33640806</v>
      </c>
      <c r="AH28" s="11">
        <f t="shared" si="26"/>
        <v>98.00322846</v>
      </c>
      <c r="AI28" s="11">
        <f t="shared" si="26"/>
        <v>102.9033899</v>
      </c>
      <c r="AJ28" s="13">
        <f t="shared" si="24"/>
        <v>1660.971188</v>
      </c>
    </row>
    <row r="29">
      <c r="A29" s="2"/>
      <c r="B29" s="2"/>
      <c r="C29" s="2"/>
      <c r="D29" s="4"/>
      <c r="E29" s="1" t="s">
        <v>103</v>
      </c>
      <c r="F29" s="11">
        <v>25.0</v>
      </c>
      <c r="G29" s="11">
        <f t="shared" ref="G29:AI29" si="27">F29*1.05</f>
        <v>26.25</v>
      </c>
      <c r="H29" s="11">
        <f t="shared" si="27"/>
        <v>27.5625</v>
      </c>
      <c r="I29" s="11">
        <f t="shared" si="27"/>
        <v>28.940625</v>
      </c>
      <c r="J29" s="11">
        <f t="shared" si="27"/>
        <v>30.38765625</v>
      </c>
      <c r="K29" s="11">
        <f t="shared" si="27"/>
        <v>31.90703906</v>
      </c>
      <c r="L29" s="11">
        <f t="shared" si="27"/>
        <v>33.50239102</v>
      </c>
      <c r="M29" s="11">
        <f t="shared" si="27"/>
        <v>35.17751057</v>
      </c>
      <c r="N29" s="11">
        <f t="shared" si="27"/>
        <v>36.93638609</v>
      </c>
      <c r="O29" s="11">
        <f t="shared" si="27"/>
        <v>38.7832054</v>
      </c>
      <c r="P29" s="11">
        <f t="shared" si="27"/>
        <v>40.72236567</v>
      </c>
      <c r="Q29" s="11">
        <f t="shared" si="27"/>
        <v>42.75848395</v>
      </c>
      <c r="R29" s="11">
        <f t="shared" si="27"/>
        <v>44.89640815</v>
      </c>
      <c r="S29" s="11">
        <f t="shared" si="27"/>
        <v>47.14122856</v>
      </c>
      <c r="T29" s="11">
        <f t="shared" si="27"/>
        <v>49.49828999</v>
      </c>
      <c r="U29" s="11">
        <f t="shared" si="27"/>
        <v>51.97320449</v>
      </c>
      <c r="V29" s="11">
        <f t="shared" si="27"/>
        <v>54.57186471</v>
      </c>
      <c r="W29" s="11">
        <f t="shared" si="27"/>
        <v>57.30045795</v>
      </c>
      <c r="X29" s="11">
        <f t="shared" si="27"/>
        <v>60.16548084</v>
      </c>
      <c r="Y29" s="11">
        <f t="shared" si="27"/>
        <v>63.17375488</v>
      </c>
      <c r="Z29" s="11">
        <f t="shared" si="27"/>
        <v>66.33244263</v>
      </c>
      <c r="AA29" s="11">
        <f t="shared" si="27"/>
        <v>69.64906476</v>
      </c>
      <c r="AB29" s="11">
        <f t="shared" si="27"/>
        <v>73.131518</v>
      </c>
      <c r="AC29" s="11">
        <f t="shared" si="27"/>
        <v>76.7880939</v>
      </c>
      <c r="AD29" s="11">
        <f t="shared" si="27"/>
        <v>80.62749859</v>
      </c>
      <c r="AE29" s="11">
        <f t="shared" si="27"/>
        <v>84.65887352</v>
      </c>
      <c r="AF29" s="11">
        <f t="shared" si="27"/>
        <v>88.8918172</v>
      </c>
      <c r="AG29" s="11">
        <f t="shared" si="27"/>
        <v>93.33640806</v>
      </c>
      <c r="AH29" s="11">
        <f t="shared" si="27"/>
        <v>98.00322846</v>
      </c>
      <c r="AI29" s="11">
        <f t="shared" si="27"/>
        <v>102.9033899</v>
      </c>
      <c r="AJ29" s="13">
        <f t="shared" si="24"/>
        <v>1660.971188</v>
      </c>
    </row>
    <row r="30">
      <c r="A30" s="2"/>
      <c r="B30" s="2"/>
      <c r="C30" s="2"/>
      <c r="D30" s="4"/>
      <c r="E30" s="1" t="s">
        <v>120</v>
      </c>
      <c r="F30" s="11">
        <v>25.0</v>
      </c>
      <c r="G30" s="11">
        <f t="shared" ref="G30:AI30" si="28">F30*1.05</f>
        <v>26.25</v>
      </c>
      <c r="H30" s="11">
        <f t="shared" si="28"/>
        <v>27.5625</v>
      </c>
      <c r="I30" s="11">
        <f t="shared" si="28"/>
        <v>28.940625</v>
      </c>
      <c r="J30" s="11">
        <f t="shared" si="28"/>
        <v>30.38765625</v>
      </c>
      <c r="K30" s="11">
        <f t="shared" si="28"/>
        <v>31.90703906</v>
      </c>
      <c r="L30" s="11">
        <f t="shared" si="28"/>
        <v>33.50239102</v>
      </c>
      <c r="M30" s="11">
        <f t="shared" si="28"/>
        <v>35.17751057</v>
      </c>
      <c r="N30" s="11">
        <f t="shared" si="28"/>
        <v>36.93638609</v>
      </c>
      <c r="O30" s="11">
        <f t="shared" si="28"/>
        <v>38.7832054</v>
      </c>
      <c r="P30" s="11">
        <f t="shared" si="28"/>
        <v>40.72236567</v>
      </c>
      <c r="Q30" s="11">
        <f t="shared" si="28"/>
        <v>42.75848395</v>
      </c>
      <c r="R30" s="11">
        <f t="shared" si="28"/>
        <v>44.89640815</v>
      </c>
      <c r="S30" s="11">
        <f t="shared" si="28"/>
        <v>47.14122856</v>
      </c>
      <c r="T30" s="11">
        <f t="shared" si="28"/>
        <v>49.49828999</v>
      </c>
      <c r="U30" s="11">
        <f t="shared" si="28"/>
        <v>51.97320449</v>
      </c>
      <c r="V30" s="11">
        <f t="shared" si="28"/>
        <v>54.57186471</v>
      </c>
      <c r="W30" s="11">
        <f t="shared" si="28"/>
        <v>57.30045795</v>
      </c>
      <c r="X30" s="11">
        <f t="shared" si="28"/>
        <v>60.16548084</v>
      </c>
      <c r="Y30" s="11">
        <f t="shared" si="28"/>
        <v>63.17375488</v>
      </c>
      <c r="Z30" s="11">
        <f t="shared" si="28"/>
        <v>66.33244263</v>
      </c>
      <c r="AA30" s="11">
        <f t="shared" si="28"/>
        <v>69.64906476</v>
      </c>
      <c r="AB30" s="11">
        <f t="shared" si="28"/>
        <v>73.131518</v>
      </c>
      <c r="AC30" s="11">
        <f t="shared" si="28"/>
        <v>76.7880939</v>
      </c>
      <c r="AD30" s="11">
        <f t="shared" si="28"/>
        <v>80.62749859</v>
      </c>
      <c r="AE30" s="11">
        <f t="shared" si="28"/>
        <v>84.65887352</v>
      </c>
      <c r="AF30" s="11">
        <f t="shared" si="28"/>
        <v>88.8918172</v>
      </c>
      <c r="AG30" s="11">
        <f t="shared" si="28"/>
        <v>93.33640806</v>
      </c>
      <c r="AH30" s="11">
        <f t="shared" si="28"/>
        <v>98.00322846</v>
      </c>
      <c r="AI30" s="11">
        <f t="shared" si="28"/>
        <v>102.9033899</v>
      </c>
      <c r="AJ30" s="13">
        <f t="shared" si="24"/>
        <v>1660.971188</v>
      </c>
    </row>
    <row r="31">
      <c r="A31" s="2"/>
      <c r="B31" s="2"/>
      <c r="C31" s="2"/>
      <c r="D31" s="1" t="s">
        <v>122</v>
      </c>
      <c r="E31" s="1" t="s">
        <v>2</v>
      </c>
      <c r="F31" s="11">
        <v>25.0</v>
      </c>
      <c r="G31" s="11">
        <f t="shared" ref="G31:AI31" si="29">F31*1.05</f>
        <v>26.25</v>
      </c>
      <c r="H31" s="11">
        <f t="shared" si="29"/>
        <v>27.5625</v>
      </c>
      <c r="I31" s="11">
        <f t="shared" si="29"/>
        <v>28.940625</v>
      </c>
      <c r="J31" s="11">
        <f t="shared" si="29"/>
        <v>30.38765625</v>
      </c>
      <c r="K31" s="11">
        <f t="shared" si="29"/>
        <v>31.90703906</v>
      </c>
      <c r="L31" s="11">
        <f t="shared" si="29"/>
        <v>33.50239102</v>
      </c>
      <c r="M31" s="11">
        <f t="shared" si="29"/>
        <v>35.17751057</v>
      </c>
      <c r="N31" s="11">
        <f t="shared" si="29"/>
        <v>36.93638609</v>
      </c>
      <c r="O31" s="11">
        <f t="shared" si="29"/>
        <v>38.7832054</v>
      </c>
      <c r="P31" s="11">
        <f t="shared" si="29"/>
        <v>40.72236567</v>
      </c>
      <c r="Q31" s="11">
        <f t="shared" si="29"/>
        <v>42.75848395</v>
      </c>
      <c r="R31" s="11">
        <f t="shared" si="29"/>
        <v>44.89640815</v>
      </c>
      <c r="S31" s="11">
        <f t="shared" si="29"/>
        <v>47.14122856</v>
      </c>
      <c r="T31" s="11">
        <f t="shared" si="29"/>
        <v>49.49828999</v>
      </c>
      <c r="U31" s="11">
        <f t="shared" si="29"/>
        <v>51.97320449</v>
      </c>
      <c r="V31" s="11">
        <f t="shared" si="29"/>
        <v>54.57186471</v>
      </c>
      <c r="W31" s="11">
        <f t="shared" si="29"/>
        <v>57.30045795</v>
      </c>
      <c r="X31" s="11">
        <f t="shared" si="29"/>
        <v>60.16548084</v>
      </c>
      <c r="Y31" s="11">
        <f t="shared" si="29"/>
        <v>63.17375488</v>
      </c>
      <c r="Z31" s="11">
        <f t="shared" si="29"/>
        <v>66.33244263</v>
      </c>
      <c r="AA31" s="11">
        <f t="shared" si="29"/>
        <v>69.64906476</v>
      </c>
      <c r="AB31" s="11">
        <f t="shared" si="29"/>
        <v>73.131518</v>
      </c>
      <c r="AC31" s="11">
        <f t="shared" si="29"/>
        <v>76.7880939</v>
      </c>
      <c r="AD31" s="11">
        <f t="shared" si="29"/>
        <v>80.62749859</v>
      </c>
      <c r="AE31" s="11">
        <f t="shared" si="29"/>
        <v>84.65887352</v>
      </c>
      <c r="AF31" s="11">
        <f t="shared" si="29"/>
        <v>88.8918172</v>
      </c>
      <c r="AG31" s="11">
        <f t="shared" si="29"/>
        <v>93.33640806</v>
      </c>
      <c r="AH31" s="11">
        <f t="shared" si="29"/>
        <v>98.00322846</v>
      </c>
      <c r="AI31" s="11">
        <f t="shared" si="29"/>
        <v>102.9033899</v>
      </c>
      <c r="AJ31" s="13">
        <f t="shared" si="24"/>
        <v>1660.971188</v>
      </c>
    </row>
    <row r="32">
      <c r="A32" s="2"/>
      <c r="B32" s="2"/>
      <c r="C32" s="2"/>
      <c r="D32" s="4"/>
      <c r="E32" s="1" t="s">
        <v>103</v>
      </c>
      <c r="F32" s="11">
        <v>25.0</v>
      </c>
      <c r="G32" s="11">
        <f t="shared" ref="G32:AI32" si="30">F32*1.05</f>
        <v>26.25</v>
      </c>
      <c r="H32" s="11">
        <f t="shared" si="30"/>
        <v>27.5625</v>
      </c>
      <c r="I32" s="11">
        <f t="shared" si="30"/>
        <v>28.940625</v>
      </c>
      <c r="J32" s="11">
        <f t="shared" si="30"/>
        <v>30.38765625</v>
      </c>
      <c r="K32" s="11">
        <f t="shared" si="30"/>
        <v>31.90703906</v>
      </c>
      <c r="L32" s="11">
        <f t="shared" si="30"/>
        <v>33.50239102</v>
      </c>
      <c r="M32" s="11">
        <f t="shared" si="30"/>
        <v>35.17751057</v>
      </c>
      <c r="N32" s="11">
        <f t="shared" si="30"/>
        <v>36.93638609</v>
      </c>
      <c r="O32" s="11">
        <f t="shared" si="30"/>
        <v>38.7832054</v>
      </c>
      <c r="P32" s="11">
        <f t="shared" si="30"/>
        <v>40.72236567</v>
      </c>
      <c r="Q32" s="11">
        <f t="shared" si="30"/>
        <v>42.75848395</v>
      </c>
      <c r="R32" s="11">
        <f t="shared" si="30"/>
        <v>44.89640815</v>
      </c>
      <c r="S32" s="11">
        <f t="shared" si="30"/>
        <v>47.14122856</v>
      </c>
      <c r="T32" s="11">
        <f t="shared" si="30"/>
        <v>49.49828999</v>
      </c>
      <c r="U32" s="11">
        <f t="shared" si="30"/>
        <v>51.97320449</v>
      </c>
      <c r="V32" s="11">
        <f t="shared" si="30"/>
        <v>54.57186471</v>
      </c>
      <c r="W32" s="11">
        <f t="shared" si="30"/>
        <v>57.30045795</v>
      </c>
      <c r="X32" s="11">
        <f t="shared" si="30"/>
        <v>60.16548084</v>
      </c>
      <c r="Y32" s="11">
        <f t="shared" si="30"/>
        <v>63.17375488</v>
      </c>
      <c r="Z32" s="11">
        <f t="shared" si="30"/>
        <v>66.33244263</v>
      </c>
      <c r="AA32" s="11">
        <f t="shared" si="30"/>
        <v>69.64906476</v>
      </c>
      <c r="AB32" s="11">
        <f t="shared" si="30"/>
        <v>73.131518</v>
      </c>
      <c r="AC32" s="11">
        <f t="shared" si="30"/>
        <v>76.7880939</v>
      </c>
      <c r="AD32" s="11">
        <f t="shared" si="30"/>
        <v>80.62749859</v>
      </c>
      <c r="AE32" s="11">
        <f t="shared" si="30"/>
        <v>84.65887352</v>
      </c>
      <c r="AF32" s="11">
        <f t="shared" si="30"/>
        <v>88.8918172</v>
      </c>
      <c r="AG32" s="11">
        <f t="shared" si="30"/>
        <v>93.33640806</v>
      </c>
      <c r="AH32" s="11">
        <f t="shared" si="30"/>
        <v>98.00322846</v>
      </c>
      <c r="AI32" s="11">
        <f t="shared" si="30"/>
        <v>102.9033899</v>
      </c>
      <c r="AJ32" s="13">
        <f t="shared" si="24"/>
        <v>1660.971188</v>
      </c>
    </row>
    <row r="33">
      <c r="A33" s="2"/>
      <c r="B33" s="2"/>
      <c r="C33" s="2"/>
      <c r="D33" s="4"/>
      <c r="E33" s="1" t="s">
        <v>120</v>
      </c>
      <c r="F33" s="11">
        <v>25.0</v>
      </c>
      <c r="G33" s="11">
        <f t="shared" ref="G33:AI33" si="31">F33*1.05</f>
        <v>26.25</v>
      </c>
      <c r="H33" s="11">
        <f t="shared" si="31"/>
        <v>27.5625</v>
      </c>
      <c r="I33" s="11">
        <f t="shared" si="31"/>
        <v>28.940625</v>
      </c>
      <c r="J33" s="11">
        <f t="shared" si="31"/>
        <v>30.38765625</v>
      </c>
      <c r="K33" s="11">
        <f t="shared" si="31"/>
        <v>31.90703906</v>
      </c>
      <c r="L33" s="11">
        <f t="shared" si="31"/>
        <v>33.50239102</v>
      </c>
      <c r="M33" s="11">
        <f t="shared" si="31"/>
        <v>35.17751057</v>
      </c>
      <c r="N33" s="11">
        <f t="shared" si="31"/>
        <v>36.93638609</v>
      </c>
      <c r="O33" s="11">
        <f t="shared" si="31"/>
        <v>38.7832054</v>
      </c>
      <c r="P33" s="11">
        <f t="shared" si="31"/>
        <v>40.72236567</v>
      </c>
      <c r="Q33" s="11">
        <f t="shared" si="31"/>
        <v>42.75848395</v>
      </c>
      <c r="R33" s="11">
        <f t="shared" si="31"/>
        <v>44.89640815</v>
      </c>
      <c r="S33" s="11">
        <f t="shared" si="31"/>
        <v>47.14122856</v>
      </c>
      <c r="T33" s="11">
        <f t="shared" si="31"/>
        <v>49.49828999</v>
      </c>
      <c r="U33" s="11">
        <f t="shared" si="31"/>
        <v>51.97320449</v>
      </c>
      <c r="V33" s="11">
        <f t="shared" si="31"/>
        <v>54.57186471</v>
      </c>
      <c r="W33" s="11">
        <f t="shared" si="31"/>
        <v>57.30045795</v>
      </c>
      <c r="X33" s="11">
        <f t="shared" si="31"/>
        <v>60.16548084</v>
      </c>
      <c r="Y33" s="11">
        <f t="shared" si="31"/>
        <v>63.17375488</v>
      </c>
      <c r="Z33" s="11">
        <f t="shared" si="31"/>
        <v>66.33244263</v>
      </c>
      <c r="AA33" s="11">
        <f t="shared" si="31"/>
        <v>69.64906476</v>
      </c>
      <c r="AB33" s="11">
        <f t="shared" si="31"/>
        <v>73.131518</v>
      </c>
      <c r="AC33" s="11">
        <f t="shared" si="31"/>
        <v>76.7880939</v>
      </c>
      <c r="AD33" s="11">
        <f t="shared" si="31"/>
        <v>80.62749859</v>
      </c>
      <c r="AE33" s="11">
        <f t="shared" si="31"/>
        <v>84.65887352</v>
      </c>
      <c r="AF33" s="11">
        <f t="shared" si="31"/>
        <v>88.8918172</v>
      </c>
      <c r="AG33" s="11">
        <f t="shared" si="31"/>
        <v>93.33640806</v>
      </c>
      <c r="AH33" s="11">
        <f t="shared" si="31"/>
        <v>98.00322846</v>
      </c>
      <c r="AI33" s="11">
        <f t="shared" si="31"/>
        <v>102.9033899</v>
      </c>
      <c r="AJ33" s="13">
        <f t="shared" si="24"/>
        <v>1660.971188</v>
      </c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>
      <c r="A35" s="2"/>
      <c r="B35" s="2"/>
      <c r="C35" s="2"/>
      <c r="D35" s="2"/>
      <c r="E35" s="2" t="s">
        <v>84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 t="s">
        <v>32</v>
      </c>
    </row>
    <row r="36">
      <c r="A36" s="2"/>
      <c r="B36" s="2"/>
      <c r="C36" s="2"/>
      <c r="D36" s="1" t="s">
        <v>123</v>
      </c>
      <c r="E36" s="1" t="s">
        <v>120</v>
      </c>
      <c r="F36" s="11">
        <v>25.0</v>
      </c>
      <c r="G36" s="11">
        <f t="shared" ref="G36:AI36" si="32">F36*1.05</f>
        <v>26.25</v>
      </c>
      <c r="H36" s="11">
        <f t="shared" si="32"/>
        <v>27.5625</v>
      </c>
      <c r="I36" s="11">
        <f t="shared" si="32"/>
        <v>28.940625</v>
      </c>
      <c r="J36" s="11">
        <f t="shared" si="32"/>
        <v>30.38765625</v>
      </c>
      <c r="K36" s="11">
        <f t="shared" si="32"/>
        <v>31.90703906</v>
      </c>
      <c r="L36" s="11">
        <f t="shared" si="32"/>
        <v>33.50239102</v>
      </c>
      <c r="M36" s="11">
        <f t="shared" si="32"/>
        <v>35.17751057</v>
      </c>
      <c r="N36" s="11">
        <f t="shared" si="32"/>
        <v>36.93638609</v>
      </c>
      <c r="O36" s="11">
        <f t="shared" si="32"/>
        <v>38.7832054</v>
      </c>
      <c r="P36" s="11">
        <f t="shared" si="32"/>
        <v>40.72236567</v>
      </c>
      <c r="Q36" s="11">
        <f t="shared" si="32"/>
        <v>42.75848395</v>
      </c>
      <c r="R36" s="11">
        <f t="shared" si="32"/>
        <v>44.89640815</v>
      </c>
      <c r="S36" s="11">
        <f t="shared" si="32"/>
        <v>47.14122856</v>
      </c>
      <c r="T36" s="11">
        <f t="shared" si="32"/>
        <v>49.49828999</v>
      </c>
      <c r="U36" s="11">
        <f t="shared" si="32"/>
        <v>51.97320449</v>
      </c>
      <c r="V36" s="11">
        <f t="shared" si="32"/>
        <v>54.57186471</v>
      </c>
      <c r="W36" s="11">
        <f t="shared" si="32"/>
        <v>57.30045795</v>
      </c>
      <c r="X36" s="11">
        <f t="shared" si="32"/>
        <v>60.16548084</v>
      </c>
      <c r="Y36" s="11">
        <f t="shared" si="32"/>
        <v>63.17375488</v>
      </c>
      <c r="Z36" s="11">
        <f t="shared" si="32"/>
        <v>66.33244263</v>
      </c>
      <c r="AA36" s="11">
        <f t="shared" si="32"/>
        <v>69.64906476</v>
      </c>
      <c r="AB36" s="11">
        <f t="shared" si="32"/>
        <v>73.131518</v>
      </c>
      <c r="AC36" s="11">
        <f t="shared" si="32"/>
        <v>76.7880939</v>
      </c>
      <c r="AD36" s="11">
        <f t="shared" si="32"/>
        <v>80.62749859</v>
      </c>
      <c r="AE36" s="11">
        <f t="shared" si="32"/>
        <v>84.65887352</v>
      </c>
      <c r="AF36" s="11">
        <f t="shared" si="32"/>
        <v>88.8918172</v>
      </c>
      <c r="AG36" s="11">
        <f t="shared" si="32"/>
        <v>93.33640806</v>
      </c>
      <c r="AH36" s="11">
        <f t="shared" si="32"/>
        <v>98.00322846</v>
      </c>
      <c r="AI36" s="11">
        <f t="shared" si="32"/>
        <v>102.9033899</v>
      </c>
      <c r="AJ36" s="13">
        <f t="shared" ref="AJ36:AJ44" si="34">SUM(F36:AI36)</f>
        <v>1660.971188</v>
      </c>
    </row>
    <row r="37">
      <c r="A37" s="2"/>
      <c r="B37" s="2"/>
      <c r="C37" s="2"/>
      <c r="D37" s="4"/>
      <c r="E37" s="1" t="s">
        <v>70</v>
      </c>
      <c r="F37" s="11">
        <v>25.0</v>
      </c>
      <c r="G37" s="11">
        <f t="shared" ref="G37:AI37" si="33">F37*1.05</f>
        <v>26.25</v>
      </c>
      <c r="H37" s="11">
        <f t="shared" si="33"/>
        <v>27.5625</v>
      </c>
      <c r="I37" s="11">
        <f t="shared" si="33"/>
        <v>28.940625</v>
      </c>
      <c r="J37" s="11">
        <f t="shared" si="33"/>
        <v>30.38765625</v>
      </c>
      <c r="K37" s="11">
        <f t="shared" si="33"/>
        <v>31.90703906</v>
      </c>
      <c r="L37" s="11">
        <f t="shared" si="33"/>
        <v>33.50239102</v>
      </c>
      <c r="M37" s="11">
        <f t="shared" si="33"/>
        <v>35.17751057</v>
      </c>
      <c r="N37" s="11">
        <f t="shared" si="33"/>
        <v>36.93638609</v>
      </c>
      <c r="O37" s="11">
        <f t="shared" si="33"/>
        <v>38.7832054</v>
      </c>
      <c r="P37" s="11">
        <f t="shared" si="33"/>
        <v>40.72236567</v>
      </c>
      <c r="Q37" s="11">
        <f t="shared" si="33"/>
        <v>42.75848395</v>
      </c>
      <c r="R37" s="11">
        <f t="shared" si="33"/>
        <v>44.89640815</v>
      </c>
      <c r="S37" s="11">
        <f t="shared" si="33"/>
        <v>47.14122856</v>
      </c>
      <c r="T37" s="11">
        <f t="shared" si="33"/>
        <v>49.49828999</v>
      </c>
      <c r="U37" s="11">
        <f t="shared" si="33"/>
        <v>51.97320449</v>
      </c>
      <c r="V37" s="11">
        <f t="shared" si="33"/>
        <v>54.57186471</v>
      </c>
      <c r="W37" s="11">
        <f t="shared" si="33"/>
        <v>57.30045795</v>
      </c>
      <c r="X37" s="11">
        <f t="shared" si="33"/>
        <v>60.16548084</v>
      </c>
      <c r="Y37" s="11">
        <f t="shared" si="33"/>
        <v>63.17375488</v>
      </c>
      <c r="Z37" s="11">
        <f t="shared" si="33"/>
        <v>66.33244263</v>
      </c>
      <c r="AA37" s="11">
        <f t="shared" si="33"/>
        <v>69.64906476</v>
      </c>
      <c r="AB37" s="11">
        <f t="shared" si="33"/>
        <v>73.131518</v>
      </c>
      <c r="AC37" s="11">
        <f t="shared" si="33"/>
        <v>76.7880939</v>
      </c>
      <c r="AD37" s="11">
        <f t="shared" si="33"/>
        <v>80.62749859</v>
      </c>
      <c r="AE37" s="11">
        <f t="shared" si="33"/>
        <v>84.65887352</v>
      </c>
      <c r="AF37" s="11">
        <f t="shared" si="33"/>
        <v>88.8918172</v>
      </c>
      <c r="AG37" s="11">
        <f t="shared" si="33"/>
        <v>93.33640806</v>
      </c>
      <c r="AH37" s="11">
        <f t="shared" si="33"/>
        <v>98.00322846</v>
      </c>
      <c r="AI37" s="11">
        <f t="shared" si="33"/>
        <v>102.9033899</v>
      </c>
      <c r="AJ37" s="13">
        <f t="shared" si="34"/>
        <v>1660.971188</v>
      </c>
    </row>
    <row r="38">
      <c r="A38" s="2"/>
      <c r="B38" s="2"/>
      <c r="C38" s="2"/>
      <c r="D38" s="4"/>
      <c r="E38" s="1" t="s">
        <v>124</v>
      </c>
      <c r="F38" s="11">
        <v>25.0</v>
      </c>
      <c r="G38" s="11">
        <f t="shared" ref="G38:AI38" si="35">F38*1.05</f>
        <v>26.25</v>
      </c>
      <c r="H38" s="11">
        <f t="shared" si="35"/>
        <v>27.5625</v>
      </c>
      <c r="I38" s="11">
        <f t="shared" si="35"/>
        <v>28.940625</v>
      </c>
      <c r="J38" s="11">
        <f t="shared" si="35"/>
        <v>30.38765625</v>
      </c>
      <c r="K38" s="11">
        <f t="shared" si="35"/>
        <v>31.90703906</v>
      </c>
      <c r="L38" s="11">
        <f t="shared" si="35"/>
        <v>33.50239102</v>
      </c>
      <c r="M38" s="11">
        <f t="shared" si="35"/>
        <v>35.17751057</v>
      </c>
      <c r="N38" s="11">
        <f t="shared" si="35"/>
        <v>36.93638609</v>
      </c>
      <c r="O38" s="11">
        <f t="shared" si="35"/>
        <v>38.7832054</v>
      </c>
      <c r="P38" s="11">
        <f t="shared" si="35"/>
        <v>40.72236567</v>
      </c>
      <c r="Q38" s="11">
        <f t="shared" si="35"/>
        <v>42.75848395</v>
      </c>
      <c r="R38" s="11">
        <f t="shared" si="35"/>
        <v>44.89640815</v>
      </c>
      <c r="S38" s="11">
        <f t="shared" si="35"/>
        <v>47.14122856</v>
      </c>
      <c r="T38" s="11">
        <f t="shared" si="35"/>
        <v>49.49828999</v>
      </c>
      <c r="U38" s="11">
        <f t="shared" si="35"/>
        <v>51.97320449</v>
      </c>
      <c r="V38" s="11">
        <f t="shared" si="35"/>
        <v>54.57186471</v>
      </c>
      <c r="W38" s="11">
        <f t="shared" si="35"/>
        <v>57.30045795</v>
      </c>
      <c r="X38" s="11">
        <f t="shared" si="35"/>
        <v>60.16548084</v>
      </c>
      <c r="Y38" s="11">
        <f t="shared" si="35"/>
        <v>63.17375488</v>
      </c>
      <c r="Z38" s="11">
        <f t="shared" si="35"/>
        <v>66.33244263</v>
      </c>
      <c r="AA38" s="11">
        <f t="shared" si="35"/>
        <v>69.64906476</v>
      </c>
      <c r="AB38" s="11">
        <f t="shared" si="35"/>
        <v>73.131518</v>
      </c>
      <c r="AC38" s="11">
        <f t="shared" si="35"/>
        <v>76.7880939</v>
      </c>
      <c r="AD38" s="11">
        <f t="shared" si="35"/>
        <v>80.62749859</v>
      </c>
      <c r="AE38" s="11">
        <f t="shared" si="35"/>
        <v>84.65887352</v>
      </c>
      <c r="AF38" s="11">
        <f t="shared" si="35"/>
        <v>88.8918172</v>
      </c>
      <c r="AG38" s="11">
        <f t="shared" si="35"/>
        <v>93.33640806</v>
      </c>
      <c r="AH38" s="11">
        <f t="shared" si="35"/>
        <v>98.00322846</v>
      </c>
      <c r="AI38" s="11">
        <f t="shared" si="35"/>
        <v>102.9033899</v>
      </c>
      <c r="AJ38" s="13">
        <f t="shared" si="34"/>
        <v>1660.971188</v>
      </c>
    </row>
    <row r="39">
      <c r="A39" s="2"/>
      <c r="B39" s="2"/>
      <c r="C39" s="2"/>
      <c r="D39" s="1" t="s">
        <v>125</v>
      </c>
      <c r="E39" s="1" t="s">
        <v>126</v>
      </c>
      <c r="F39" s="11">
        <v>25.0</v>
      </c>
      <c r="G39" s="11">
        <f t="shared" ref="G39:AI39" si="36">F39*1.05</f>
        <v>26.25</v>
      </c>
      <c r="H39" s="11">
        <f t="shared" si="36"/>
        <v>27.5625</v>
      </c>
      <c r="I39" s="11">
        <f t="shared" si="36"/>
        <v>28.940625</v>
      </c>
      <c r="J39" s="11">
        <f t="shared" si="36"/>
        <v>30.38765625</v>
      </c>
      <c r="K39" s="11">
        <f t="shared" si="36"/>
        <v>31.90703906</v>
      </c>
      <c r="L39" s="11">
        <f t="shared" si="36"/>
        <v>33.50239102</v>
      </c>
      <c r="M39" s="11">
        <f t="shared" si="36"/>
        <v>35.17751057</v>
      </c>
      <c r="N39" s="11">
        <f t="shared" si="36"/>
        <v>36.93638609</v>
      </c>
      <c r="O39" s="11">
        <f t="shared" si="36"/>
        <v>38.7832054</v>
      </c>
      <c r="P39" s="11">
        <f t="shared" si="36"/>
        <v>40.72236567</v>
      </c>
      <c r="Q39" s="11">
        <f t="shared" si="36"/>
        <v>42.75848395</v>
      </c>
      <c r="R39" s="11">
        <f t="shared" si="36"/>
        <v>44.89640815</v>
      </c>
      <c r="S39" s="11">
        <f t="shared" si="36"/>
        <v>47.14122856</v>
      </c>
      <c r="T39" s="11">
        <f t="shared" si="36"/>
        <v>49.49828999</v>
      </c>
      <c r="U39" s="11">
        <f t="shared" si="36"/>
        <v>51.97320449</v>
      </c>
      <c r="V39" s="11">
        <f t="shared" si="36"/>
        <v>54.57186471</v>
      </c>
      <c r="W39" s="11">
        <f t="shared" si="36"/>
        <v>57.30045795</v>
      </c>
      <c r="X39" s="11">
        <f t="shared" si="36"/>
        <v>60.16548084</v>
      </c>
      <c r="Y39" s="11">
        <f t="shared" si="36"/>
        <v>63.17375488</v>
      </c>
      <c r="Z39" s="11">
        <f t="shared" si="36"/>
        <v>66.33244263</v>
      </c>
      <c r="AA39" s="11">
        <f t="shared" si="36"/>
        <v>69.64906476</v>
      </c>
      <c r="AB39" s="11">
        <f t="shared" si="36"/>
        <v>73.131518</v>
      </c>
      <c r="AC39" s="11">
        <f t="shared" si="36"/>
        <v>76.7880939</v>
      </c>
      <c r="AD39" s="11">
        <f t="shared" si="36"/>
        <v>80.62749859</v>
      </c>
      <c r="AE39" s="11">
        <f t="shared" si="36"/>
        <v>84.65887352</v>
      </c>
      <c r="AF39" s="11">
        <f t="shared" si="36"/>
        <v>88.8918172</v>
      </c>
      <c r="AG39" s="11">
        <f t="shared" si="36"/>
        <v>93.33640806</v>
      </c>
      <c r="AH39" s="11">
        <f t="shared" si="36"/>
        <v>98.00322846</v>
      </c>
      <c r="AI39" s="11">
        <f t="shared" si="36"/>
        <v>102.9033899</v>
      </c>
      <c r="AJ39" s="13">
        <f t="shared" si="34"/>
        <v>1660.971188</v>
      </c>
    </row>
    <row r="40">
      <c r="A40" s="2"/>
      <c r="B40" s="2"/>
      <c r="C40" s="2"/>
      <c r="D40" s="4"/>
      <c r="E40" s="1" t="s">
        <v>103</v>
      </c>
      <c r="F40" s="11">
        <v>25.0</v>
      </c>
      <c r="G40" s="11">
        <f t="shared" ref="G40:AI40" si="37">F40*1.05</f>
        <v>26.25</v>
      </c>
      <c r="H40" s="11">
        <f t="shared" si="37"/>
        <v>27.5625</v>
      </c>
      <c r="I40" s="11">
        <f t="shared" si="37"/>
        <v>28.940625</v>
      </c>
      <c r="J40" s="11">
        <f t="shared" si="37"/>
        <v>30.38765625</v>
      </c>
      <c r="K40" s="11">
        <f t="shared" si="37"/>
        <v>31.90703906</v>
      </c>
      <c r="L40" s="11">
        <f t="shared" si="37"/>
        <v>33.50239102</v>
      </c>
      <c r="M40" s="11">
        <f t="shared" si="37"/>
        <v>35.17751057</v>
      </c>
      <c r="N40" s="11">
        <f t="shared" si="37"/>
        <v>36.93638609</v>
      </c>
      <c r="O40" s="11">
        <f t="shared" si="37"/>
        <v>38.7832054</v>
      </c>
      <c r="P40" s="11">
        <f t="shared" si="37"/>
        <v>40.72236567</v>
      </c>
      <c r="Q40" s="11">
        <f t="shared" si="37"/>
        <v>42.75848395</v>
      </c>
      <c r="R40" s="11">
        <f t="shared" si="37"/>
        <v>44.89640815</v>
      </c>
      <c r="S40" s="11">
        <f t="shared" si="37"/>
        <v>47.14122856</v>
      </c>
      <c r="T40" s="11">
        <f t="shared" si="37"/>
        <v>49.49828999</v>
      </c>
      <c r="U40" s="11">
        <f t="shared" si="37"/>
        <v>51.97320449</v>
      </c>
      <c r="V40" s="11">
        <f t="shared" si="37"/>
        <v>54.57186471</v>
      </c>
      <c r="W40" s="11">
        <f t="shared" si="37"/>
        <v>57.30045795</v>
      </c>
      <c r="X40" s="11">
        <f t="shared" si="37"/>
        <v>60.16548084</v>
      </c>
      <c r="Y40" s="11">
        <f t="shared" si="37"/>
        <v>63.17375488</v>
      </c>
      <c r="Z40" s="11">
        <f t="shared" si="37"/>
        <v>66.33244263</v>
      </c>
      <c r="AA40" s="11">
        <f t="shared" si="37"/>
        <v>69.64906476</v>
      </c>
      <c r="AB40" s="11">
        <f t="shared" si="37"/>
        <v>73.131518</v>
      </c>
      <c r="AC40" s="11">
        <f t="shared" si="37"/>
        <v>76.7880939</v>
      </c>
      <c r="AD40" s="11">
        <f t="shared" si="37"/>
        <v>80.62749859</v>
      </c>
      <c r="AE40" s="11">
        <f t="shared" si="37"/>
        <v>84.65887352</v>
      </c>
      <c r="AF40" s="11">
        <f t="shared" si="37"/>
        <v>88.8918172</v>
      </c>
      <c r="AG40" s="11">
        <f t="shared" si="37"/>
        <v>93.33640806</v>
      </c>
      <c r="AH40" s="11">
        <f t="shared" si="37"/>
        <v>98.00322846</v>
      </c>
      <c r="AI40" s="11">
        <f t="shared" si="37"/>
        <v>102.9033899</v>
      </c>
      <c r="AJ40" s="13">
        <f t="shared" si="34"/>
        <v>1660.971188</v>
      </c>
    </row>
    <row r="41">
      <c r="A41" s="2"/>
      <c r="B41" s="2"/>
      <c r="C41" s="2"/>
      <c r="D41" s="4"/>
      <c r="E41" s="1" t="s">
        <v>127</v>
      </c>
      <c r="F41" s="11">
        <v>25.0</v>
      </c>
      <c r="G41" s="11">
        <f t="shared" ref="G41:AI41" si="38">F41*1.05</f>
        <v>26.25</v>
      </c>
      <c r="H41" s="11">
        <f t="shared" si="38"/>
        <v>27.5625</v>
      </c>
      <c r="I41" s="11">
        <f t="shared" si="38"/>
        <v>28.940625</v>
      </c>
      <c r="J41" s="11">
        <f t="shared" si="38"/>
        <v>30.38765625</v>
      </c>
      <c r="K41" s="11">
        <f t="shared" si="38"/>
        <v>31.90703906</v>
      </c>
      <c r="L41" s="11">
        <f t="shared" si="38"/>
        <v>33.50239102</v>
      </c>
      <c r="M41" s="11">
        <f t="shared" si="38"/>
        <v>35.17751057</v>
      </c>
      <c r="N41" s="11">
        <f t="shared" si="38"/>
        <v>36.93638609</v>
      </c>
      <c r="O41" s="11">
        <f t="shared" si="38"/>
        <v>38.7832054</v>
      </c>
      <c r="P41" s="11">
        <f t="shared" si="38"/>
        <v>40.72236567</v>
      </c>
      <c r="Q41" s="11">
        <f t="shared" si="38"/>
        <v>42.75848395</v>
      </c>
      <c r="R41" s="11">
        <f t="shared" si="38"/>
        <v>44.89640815</v>
      </c>
      <c r="S41" s="11">
        <f t="shared" si="38"/>
        <v>47.14122856</v>
      </c>
      <c r="T41" s="11">
        <f t="shared" si="38"/>
        <v>49.49828999</v>
      </c>
      <c r="U41" s="11">
        <f t="shared" si="38"/>
        <v>51.97320449</v>
      </c>
      <c r="V41" s="11">
        <f t="shared" si="38"/>
        <v>54.57186471</v>
      </c>
      <c r="W41" s="11">
        <f t="shared" si="38"/>
        <v>57.30045795</v>
      </c>
      <c r="X41" s="11">
        <f t="shared" si="38"/>
        <v>60.16548084</v>
      </c>
      <c r="Y41" s="11">
        <f t="shared" si="38"/>
        <v>63.17375488</v>
      </c>
      <c r="Z41" s="11">
        <f t="shared" si="38"/>
        <v>66.33244263</v>
      </c>
      <c r="AA41" s="11">
        <f t="shared" si="38"/>
        <v>69.64906476</v>
      </c>
      <c r="AB41" s="11">
        <f t="shared" si="38"/>
        <v>73.131518</v>
      </c>
      <c r="AC41" s="11">
        <f t="shared" si="38"/>
        <v>76.7880939</v>
      </c>
      <c r="AD41" s="11">
        <f t="shared" si="38"/>
        <v>80.62749859</v>
      </c>
      <c r="AE41" s="11">
        <f t="shared" si="38"/>
        <v>84.65887352</v>
      </c>
      <c r="AF41" s="11">
        <f t="shared" si="38"/>
        <v>88.8918172</v>
      </c>
      <c r="AG41" s="11">
        <f t="shared" si="38"/>
        <v>93.33640806</v>
      </c>
      <c r="AH41" s="11">
        <f t="shared" si="38"/>
        <v>98.00322846</v>
      </c>
      <c r="AI41" s="11">
        <f t="shared" si="38"/>
        <v>102.9033899</v>
      </c>
      <c r="AJ41" s="13">
        <f t="shared" si="34"/>
        <v>1660.971188</v>
      </c>
    </row>
    <row r="42">
      <c r="A42" s="2"/>
      <c r="B42" s="2"/>
      <c r="C42" s="2"/>
      <c r="D42" s="1" t="s">
        <v>128</v>
      </c>
      <c r="E42" s="1" t="s">
        <v>2</v>
      </c>
      <c r="F42" s="11">
        <v>25.0</v>
      </c>
      <c r="G42" s="11">
        <f t="shared" ref="G42:AI42" si="39">F42*1.05</f>
        <v>26.25</v>
      </c>
      <c r="H42" s="11">
        <f t="shared" si="39"/>
        <v>27.5625</v>
      </c>
      <c r="I42" s="11">
        <f t="shared" si="39"/>
        <v>28.940625</v>
      </c>
      <c r="J42" s="11">
        <f t="shared" si="39"/>
        <v>30.38765625</v>
      </c>
      <c r="K42" s="11">
        <f t="shared" si="39"/>
        <v>31.90703906</v>
      </c>
      <c r="L42" s="11">
        <f t="shared" si="39"/>
        <v>33.50239102</v>
      </c>
      <c r="M42" s="11">
        <f t="shared" si="39"/>
        <v>35.17751057</v>
      </c>
      <c r="N42" s="11">
        <f t="shared" si="39"/>
        <v>36.93638609</v>
      </c>
      <c r="O42" s="11">
        <f t="shared" si="39"/>
        <v>38.7832054</v>
      </c>
      <c r="P42" s="11">
        <f t="shared" si="39"/>
        <v>40.72236567</v>
      </c>
      <c r="Q42" s="11">
        <f t="shared" si="39"/>
        <v>42.75848395</v>
      </c>
      <c r="R42" s="11">
        <f t="shared" si="39"/>
        <v>44.89640815</v>
      </c>
      <c r="S42" s="11">
        <f t="shared" si="39"/>
        <v>47.14122856</v>
      </c>
      <c r="T42" s="11">
        <f t="shared" si="39"/>
        <v>49.49828999</v>
      </c>
      <c r="U42" s="11">
        <f t="shared" si="39"/>
        <v>51.97320449</v>
      </c>
      <c r="V42" s="11">
        <f t="shared" si="39"/>
        <v>54.57186471</v>
      </c>
      <c r="W42" s="11">
        <f t="shared" si="39"/>
        <v>57.30045795</v>
      </c>
      <c r="X42" s="11">
        <f t="shared" si="39"/>
        <v>60.16548084</v>
      </c>
      <c r="Y42" s="11">
        <f t="shared" si="39"/>
        <v>63.17375488</v>
      </c>
      <c r="Z42" s="11">
        <f t="shared" si="39"/>
        <v>66.33244263</v>
      </c>
      <c r="AA42" s="11">
        <f t="shared" si="39"/>
        <v>69.64906476</v>
      </c>
      <c r="AB42" s="11">
        <f t="shared" si="39"/>
        <v>73.131518</v>
      </c>
      <c r="AC42" s="11">
        <f t="shared" si="39"/>
        <v>76.7880939</v>
      </c>
      <c r="AD42" s="11">
        <f t="shared" si="39"/>
        <v>80.62749859</v>
      </c>
      <c r="AE42" s="11">
        <f t="shared" si="39"/>
        <v>84.65887352</v>
      </c>
      <c r="AF42" s="11">
        <f t="shared" si="39"/>
        <v>88.8918172</v>
      </c>
      <c r="AG42" s="11">
        <f t="shared" si="39"/>
        <v>93.33640806</v>
      </c>
      <c r="AH42" s="11">
        <f t="shared" si="39"/>
        <v>98.00322846</v>
      </c>
      <c r="AI42" s="11">
        <f t="shared" si="39"/>
        <v>102.9033899</v>
      </c>
      <c r="AJ42" s="13">
        <f t="shared" si="34"/>
        <v>1660.971188</v>
      </c>
    </row>
    <row r="43">
      <c r="A43" s="2"/>
      <c r="B43" s="2"/>
      <c r="C43" s="2"/>
      <c r="D43" s="4"/>
      <c r="E43" s="1" t="s">
        <v>103</v>
      </c>
      <c r="F43" s="11">
        <v>25.0</v>
      </c>
      <c r="G43" s="11">
        <f t="shared" ref="G43:AI43" si="40">F43*1.05</f>
        <v>26.25</v>
      </c>
      <c r="H43" s="11">
        <f t="shared" si="40"/>
        <v>27.5625</v>
      </c>
      <c r="I43" s="11">
        <f t="shared" si="40"/>
        <v>28.940625</v>
      </c>
      <c r="J43" s="11">
        <f t="shared" si="40"/>
        <v>30.38765625</v>
      </c>
      <c r="K43" s="11">
        <f t="shared" si="40"/>
        <v>31.90703906</v>
      </c>
      <c r="L43" s="11">
        <f t="shared" si="40"/>
        <v>33.50239102</v>
      </c>
      <c r="M43" s="11">
        <f t="shared" si="40"/>
        <v>35.17751057</v>
      </c>
      <c r="N43" s="11">
        <f t="shared" si="40"/>
        <v>36.93638609</v>
      </c>
      <c r="O43" s="11">
        <f t="shared" si="40"/>
        <v>38.7832054</v>
      </c>
      <c r="P43" s="11">
        <f t="shared" si="40"/>
        <v>40.72236567</v>
      </c>
      <c r="Q43" s="11">
        <f t="shared" si="40"/>
        <v>42.75848395</v>
      </c>
      <c r="R43" s="11">
        <f t="shared" si="40"/>
        <v>44.89640815</v>
      </c>
      <c r="S43" s="11">
        <f t="shared" si="40"/>
        <v>47.14122856</v>
      </c>
      <c r="T43" s="11">
        <f t="shared" si="40"/>
        <v>49.49828999</v>
      </c>
      <c r="U43" s="11">
        <f t="shared" si="40"/>
        <v>51.97320449</v>
      </c>
      <c r="V43" s="11">
        <f t="shared" si="40"/>
        <v>54.57186471</v>
      </c>
      <c r="W43" s="11">
        <f t="shared" si="40"/>
        <v>57.30045795</v>
      </c>
      <c r="X43" s="11">
        <f t="shared" si="40"/>
        <v>60.16548084</v>
      </c>
      <c r="Y43" s="11">
        <f t="shared" si="40"/>
        <v>63.17375488</v>
      </c>
      <c r="Z43" s="11">
        <f t="shared" si="40"/>
        <v>66.33244263</v>
      </c>
      <c r="AA43" s="11">
        <f t="shared" si="40"/>
        <v>69.64906476</v>
      </c>
      <c r="AB43" s="11">
        <f t="shared" si="40"/>
        <v>73.131518</v>
      </c>
      <c r="AC43" s="11">
        <f t="shared" si="40"/>
        <v>76.7880939</v>
      </c>
      <c r="AD43" s="11">
        <f t="shared" si="40"/>
        <v>80.62749859</v>
      </c>
      <c r="AE43" s="11">
        <f t="shared" si="40"/>
        <v>84.65887352</v>
      </c>
      <c r="AF43" s="11">
        <f t="shared" si="40"/>
        <v>88.8918172</v>
      </c>
      <c r="AG43" s="11">
        <f t="shared" si="40"/>
        <v>93.33640806</v>
      </c>
      <c r="AH43" s="11">
        <f t="shared" si="40"/>
        <v>98.00322846</v>
      </c>
      <c r="AI43" s="11">
        <f t="shared" si="40"/>
        <v>102.9033899</v>
      </c>
      <c r="AJ43" s="13">
        <f t="shared" si="34"/>
        <v>1660.971188</v>
      </c>
    </row>
    <row r="44">
      <c r="A44" s="2"/>
      <c r="B44" s="2"/>
      <c r="C44" s="2"/>
      <c r="D44" s="4"/>
      <c r="E44" s="1" t="s">
        <v>129</v>
      </c>
      <c r="F44" s="11">
        <v>25.0</v>
      </c>
      <c r="G44" s="11">
        <f t="shared" ref="G44:AI44" si="41">F44*1.05</f>
        <v>26.25</v>
      </c>
      <c r="H44" s="11">
        <f t="shared" si="41"/>
        <v>27.5625</v>
      </c>
      <c r="I44" s="11">
        <f t="shared" si="41"/>
        <v>28.940625</v>
      </c>
      <c r="J44" s="11">
        <f t="shared" si="41"/>
        <v>30.38765625</v>
      </c>
      <c r="K44" s="11">
        <f t="shared" si="41"/>
        <v>31.90703906</v>
      </c>
      <c r="L44" s="11">
        <f t="shared" si="41"/>
        <v>33.50239102</v>
      </c>
      <c r="M44" s="11">
        <f t="shared" si="41"/>
        <v>35.17751057</v>
      </c>
      <c r="N44" s="11">
        <f t="shared" si="41"/>
        <v>36.93638609</v>
      </c>
      <c r="O44" s="11">
        <f t="shared" si="41"/>
        <v>38.7832054</v>
      </c>
      <c r="P44" s="11">
        <f t="shared" si="41"/>
        <v>40.72236567</v>
      </c>
      <c r="Q44" s="11">
        <f t="shared" si="41"/>
        <v>42.75848395</v>
      </c>
      <c r="R44" s="11">
        <f t="shared" si="41"/>
        <v>44.89640815</v>
      </c>
      <c r="S44" s="11">
        <f t="shared" si="41"/>
        <v>47.14122856</v>
      </c>
      <c r="T44" s="11">
        <f t="shared" si="41"/>
        <v>49.49828999</v>
      </c>
      <c r="U44" s="11">
        <f t="shared" si="41"/>
        <v>51.97320449</v>
      </c>
      <c r="V44" s="11">
        <f t="shared" si="41"/>
        <v>54.57186471</v>
      </c>
      <c r="W44" s="11">
        <f t="shared" si="41"/>
        <v>57.30045795</v>
      </c>
      <c r="X44" s="11">
        <f t="shared" si="41"/>
        <v>60.16548084</v>
      </c>
      <c r="Y44" s="11">
        <f t="shared" si="41"/>
        <v>63.17375488</v>
      </c>
      <c r="Z44" s="11">
        <f t="shared" si="41"/>
        <v>66.33244263</v>
      </c>
      <c r="AA44" s="11">
        <f t="shared" si="41"/>
        <v>69.64906476</v>
      </c>
      <c r="AB44" s="11">
        <f t="shared" si="41"/>
        <v>73.131518</v>
      </c>
      <c r="AC44" s="11">
        <f t="shared" si="41"/>
        <v>76.7880939</v>
      </c>
      <c r="AD44" s="11">
        <f t="shared" si="41"/>
        <v>80.62749859</v>
      </c>
      <c r="AE44" s="11">
        <f t="shared" si="41"/>
        <v>84.65887352</v>
      </c>
      <c r="AF44" s="11">
        <f t="shared" si="41"/>
        <v>88.8918172</v>
      </c>
      <c r="AG44" s="11">
        <f t="shared" si="41"/>
        <v>93.33640806</v>
      </c>
      <c r="AH44" s="11">
        <f t="shared" si="41"/>
        <v>98.00322846</v>
      </c>
      <c r="AI44" s="11">
        <f t="shared" si="41"/>
        <v>102.9033899</v>
      </c>
      <c r="AJ44" s="13">
        <f t="shared" si="34"/>
        <v>1660.971188</v>
      </c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</sheetData>
  <drawing r:id="rId1"/>
</worksheet>
</file>